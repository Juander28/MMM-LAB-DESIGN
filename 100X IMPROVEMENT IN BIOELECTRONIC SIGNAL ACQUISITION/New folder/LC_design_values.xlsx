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1 verified" sheetId="1" state="visible" r:id="rId3"/>
    <sheet name="X10 plan 50-200 MHz" sheetId="2" state="visible" r:id="rId4"/>
    <sheet name="Formulas &amp; metho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<sst xmlns="http://schemas.openxmlformats.org/spreadsheetml/2006/main" count="87" uniqueCount="82">
  <si>
    <t xml:space="preserve">TEST1 — Coupling &amp; resonance values (verified in simulation, Aug 18 2026)</t>
  </si>
  <si>
    <t xml:space="preserve">Source: SIMULATION/TEST1/CROSS COUPLED1_100MHz_design.asc; ngspice-42 replica, closed-loop verified via Xschem netlist (simulaciones/test1)</t>
  </si>
  <si>
    <t xml:space="preserve">Element / channel</t>
  </si>
  <si>
    <t xml:space="preserve">L per branch (nH)</t>
  </si>
  <si>
    <t xml:space="preserve">Rser per branch (Ω)</t>
  </si>
  <si>
    <t xml:space="preserve">C resonance (pF)</t>
  </si>
  <si>
    <t xml:space="preserve">C coupling (fF)</t>
  </si>
  <si>
    <t xml:space="preserve">f0 sim (MHz)</t>
  </si>
  <si>
    <t xml:space="preserve">f0 formula check (MHz)</t>
  </si>
  <si>
    <t xml:space="preserve">Depth (dB)</t>
  </si>
  <si>
    <t xml:space="preserve">BW−3dB (kHz)</t>
  </si>
  <si>
    <t xml:space="preserve">QL</t>
  </si>
  <si>
    <t xml:space="preserve">Itail (mA)</t>
  </si>
  <si>
    <t xml:space="preserve">Margin to osc. (%)</t>
  </si>
  <si>
    <t xml:space="preserve">Notes</t>
  </si>
  <si>
    <t xml:space="preserve">Channel A (active line)</t>
  </si>
  <si>
    <t xml:space="preserve">2×L/2 to VDD; tank C5; coupling cpA; co-tuned joint point</t>
  </si>
  <si>
    <t xml:space="preserve">Channel B (active line)</t>
  </si>
  <si>
    <t xml:space="preserve">C7 retuned 60→40.362 pF to land 100.00 MHz (naive calc 42.2 pF; shared-return shift)</t>
  </si>
  <si>
    <t xml:space="preserve">act1 (isolated reference)</t>
  </si>
  <si>
    <t xml:space="preserve">Weak coupling on purpose (reference); resonates at design 50 MHz because return is NOT shared</t>
  </si>
  <si>
    <t xml:space="preserve">Passive tank 1 (pas line)</t>
  </si>
  <si>
    <t xml:space="preserve">cp branch — notch invisible at fF coupling (passive Q0≈31)</t>
  </si>
  <si>
    <t xml:space="preserve">Passive tank 2 (pas line)</t>
  </si>
  <si>
    <t xml:space="preserve">70 pF coupling → deep passive notch; below old 47 MHz sweep start</t>
  </si>
  <si>
    <t xml:space="preserve">Formula-check note: column G uses f0=1/(2π√(L_loop·(C+cp))); it does NOT include the shared-return shift (act− ties to VDD through L6∥L4=25 nH), which moves modes up (e.g. naive 50.0 → 55.9 MHz for channel A). Simulated f0 (column F) is the authoritative value.</t>
  </si>
  <si>
    <t xml:space="preserve">Sensitivity at design point: ±0.25% Itail keeps depth ≥17 dB; +1% on ItailB → channel B oscillates. Bias needs AGC/feedback in a real implementation.</t>
  </si>
  <si>
    <t xml:space="preserve">X10 — 10-channel frequency plan: your values (L=30 nH) vs recommended (L=100 nH)</t>
  </si>
  <si>
    <t xml:space="preserve">As-is verdict: with L=30 nH, RS=1.5 Ω, Kp=200 µA/V², Itail=170–190 µA the X10 shows NO measurable notches (&lt;0.03 dB). Recommended columns use the TEST1-verified design rules (editable inputs below).</t>
  </si>
  <si>
    <t xml:space="preserve">L_his (H)</t>
  </si>
  <si>
    <t xml:space="preserve">your X10 inductor</t>
  </si>
  <si>
    <t xml:space="preserve">RS_his (Ω)</t>
  </si>
  <si>
    <t xml:space="preserve">your X10 series R</t>
  </si>
  <si>
    <t xml:space="preserve">L_rec (H)</t>
  </si>
  <si>
    <t xml:space="preserve">recommended (TEST1-proven)</t>
  </si>
  <si>
    <t xml:space="preserve">RS_rec (Ω)</t>
  </si>
  <si>
    <t xml:space="preserve">recommended</t>
  </si>
  <si>
    <t xml:space="preserve">Zcp (Ω)</t>
  </si>
  <si>
    <t xml:space="preserve">coupling rule |Zcp|=1/(2πf·cp) — fitted from verified points A (280 fF@55.89 MHz) and B (155 fF@100.00 MHz)</t>
  </si>
  <si>
    <t xml:space="preserve">p (Itail exponent)</t>
  </si>
  <si>
    <t xml:space="preserve">Itail≈0.6526 mA·(100 MHz/f)^p — empirical fit through verified A/B points; VERIFY by co-tuning in sim</t>
  </si>
  <si>
    <t xml:space="preserve">BW spec (Hz)</t>
  </si>
  <si>
    <t xml:space="preserve">≤30 kHz per channel (project requirement)</t>
  </si>
  <si>
    <t xml:space="preserve">VDD (V)</t>
  </si>
  <si>
    <t xml:space="preserve">supply</t>
  </si>
  <si>
    <t xml:space="preserve">Ch</t>
  </si>
  <si>
    <t xml:space="preserve">f target (MHz)</t>
  </si>
  <si>
    <t xml:space="preserve">C tank YOURS (pF, L=30n)</t>
  </si>
  <si>
    <t xml:space="preserve">f check yours (MHz)</t>
  </si>
  <si>
    <t xml:space="preserve">Populated in .asc</t>
  </si>
  <si>
    <t xml:space="preserve">Q0 yours</t>
  </si>
  <si>
    <t xml:space="preserve">C tank REC (pF, L=100n)</t>
  </si>
  <si>
    <t xml:space="preserve">cp REC (fF)</t>
  </si>
  <si>
    <t xml:space="preserve">QL spec (=f/30k)</t>
  </si>
  <si>
    <t xml:space="preserve">Q0 rec</t>
  </si>
  <si>
    <t xml:space="preserve">Itail est (mA)</t>
  </si>
  <si>
    <t xml:space="preserve">P est (mW)</t>
  </si>
  <si>
    <t xml:space="preserve">c10 ✓</t>
  </si>
  <si>
    <t xml:space="preserve">—</t>
  </si>
  <si>
    <t xml:space="preserve">c8 ✓</t>
  </si>
  <si>
    <t xml:space="preserve">c6 ✓</t>
  </si>
  <si>
    <t xml:space="preserve">c1 ✓</t>
  </si>
  <si>
    <t xml:space="preserve">TOTAL:</t>
  </si>
  <si>
    <t xml:space="preserve">LEGEND — edit only BLUE cells (inputs) and YELLOW cells (design-rule constants). Black cells are live formulas. Example: change L_rec to 200n and columns G–L update.</t>
  </si>
  <si>
    <t xml:space="preserve">Caveats: (1) C tank REC is the isolated-channel first cut — shared-return shifts require a final trim in simulation (TEST1 example: 42.2→40.362 pF for exactly 100 MHz). (2) Itail est extrapolates a 2-point fit; thresholds interact between channels (~9% seen in TEST1) → co-tune jointly, just under each channel's own threshold. (3) Q0 yours = 6–25 → your current L/RS cannot reach QL spec at any realistic Itail.</t>
  </si>
  <si>
    <t xml:space="preserve">Design formulas (used by the live cells)</t>
  </si>
  <si>
    <t xml:space="preserve">Notch (series) resonance through coupling cap:  f0 = 1/(2π·√(L_loop·(C_tank + cp)))</t>
  </si>
  <si>
    <t xml:space="preserve">Tank quality factor:  Q0 = 2π·f·L_loop / RS_loop</t>
  </si>
  <si>
    <t xml:space="preserve">Spec loaded Q:  QL = f0 / BW(−3dB),  BW ≤ 30 kHz  →  QL ≥ 1667 @50 MHz … 6667 @200 MHz</t>
  </si>
  <si>
    <t xml:space="preserve">Coupling rule (fitted on verified points):  cp(f) = 1/(2π·f·Zcp),  Zcp ≈ 10.2 kΩ</t>
  </si>
  <si>
    <t xml:space="preserve">   check: A → 280 fF @ 55.89 MHz;  B → 155 fF @ 100.00 MHz  (both verified in ngspice)</t>
  </si>
  <si>
    <t xml:space="preserve">Bias estimate:  Itail(f) ≈ 0.6526 mA · (100 MHz / f)^3.15   (2-point empirical fit — verify in sim)</t>
  </si>
  <si>
    <t xml:space="preserve">Q enhancement:  Q_enh = Q0 / (1 − gm·Rp/2),  oscillation at gm·Rp/2 = 1;  gm = √(2·Kp·(W/L)·Itail/2)</t>
  </si>
  <si>
    <t xml:space="preserve">Method (validated on TEST1)</t>
  </si>
  <si>
    <t xml:space="preserve">1. Full-span AC to locate modes (they shift from naive f0 due to the shared act− return inductance).</t>
  </si>
  <si>
    <t xml:space="preserve">2. Per-cp: re-measure the oscillation threshold (coupling loss RAISES it), park 0.5–3% below.</t>
  </si>
  <si>
    <t xml:space="preserve">3. 2-D map (cp × margin): pick max depth subject to BW ≤ 30 kHz  → depth ridge at critical compensation.</t>
  </si>
  <si>
    <t xml:space="preserve">4. Co-tune BOTH channels jointly (fixed-point on thresholds — interaction ≈ 9% in TEST1).</t>
  </si>
  <si>
    <t xml:space="preserve">5. Trim tank C for exact frequency (TEST1: C7 60 → 40.362 pF for 100.002 MHz).</t>
  </si>
  <si>
    <t xml:space="preserve">6. Sensitivity check: ±0.25% Itail ⇒ depth ≥ 17 dB;  +1% on channel B ⇒ oscillation. AGC needed in hardware.</t>
  </si>
  <si>
    <t xml:space="preserve">Sources</t>
  </si>
  <si>
    <t xml:space="preserve">CROSS COUPLED1_100MHz_design.asc (TEST1) · CROSS COUPLEDX10.asc (X10 .param C1…C10) · ngspice-42 sims 2026-08-18 · closed-loop Xschem verification in simulaciones/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</si>
</sst>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"/>
    <numFmt numFmtId="167" formatCode="0.00000"/>
    <numFmt numFmtId="168" formatCode="0.00"/>
    <numFmt numFmtId="169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n">
        <v>50</v>
      </c>
      <c r="C5" s="5" t="n">
        <v>0.5</v>
      </c>
      <c r="D5" s="5" t="n">
        <v>101</v>
      </c>
      <c r="E5" s="5" t="n">
        <v>280</v>
      </c>
      <c r="F5" s="6" t="n">
        <v>55.89</v>
      </c>
      <c r="G5" s="6" t="n">
        <f aca="false">1/(2*PI()*SQRT(2*B5*0.000000001*(D5+E5/1000)*0.000000000001))/1000000</f>
        <v>50.0101647552693</v>
      </c>
      <c r="H5" s="7" t="n">
        <v>35.9</v>
      </c>
      <c r="I5" s="7" t="n">
        <v>23.2</v>
      </c>
      <c r="J5" s="4" t="n">
        <v>2413</v>
      </c>
      <c r="K5" s="8" t="n">
        <v>4.07509</v>
      </c>
      <c r="L5" s="4" t="n">
        <v>1.55</v>
      </c>
      <c r="M5" s="4" t="s">
        <v>16</v>
      </c>
    </row>
    <row r="6" customFormat="false" ht="15" hidden="false" customHeight="false" outlineLevel="0" collapsed="false">
      <c r="A6" s="9" t="s">
        <v>17</v>
      </c>
      <c r="B6" s="10" t="n">
        <v>50</v>
      </c>
      <c r="C6" s="10" t="n">
        <v>0.5</v>
      </c>
      <c r="D6" s="10" t="n">
        <v>40.362</v>
      </c>
      <c r="E6" s="10" t="n">
        <v>155</v>
      </c>
      <c r="F6" s="11" t="n">
        <v>100.002</v>
      </c>
      <c r="G6" s="11" t="n">
        <f aca="false">1/(2*PI()*SQRT(2*B6*0.000000001*(D6+E6/1000)*0.000000000001))/1000000</f>
        <v>79.0681342406982</v>
      </c>
      <c r="H6" s="12" t="n">
        <v>39.7</v>
      </c>
      <c r="I6" s="12" t="n">
        <v>13.9</v>
      </c>
      <c r="J6" s="9" t="n">
        <v>7217</v>
      </c>
      <c r="K6" s="13" t="n">
        <v>0.6526</v>
      </c>
      <c r="L6" s="9" t="n">
        <v>0.9</v>
      </c>
      <c r="M6" s="9" t="s">
        <v>18</v>
      </c>
    </row>
    <row r="7" customFormat="false" ht="15" hidden="false" customHeight="false" outlineLevel="0" collapsed="false">
      <c r="A7" s="4" t="s">
        <v>19</v>
      </c>
      <c r="B7" s="5" t="n">
        <v>50</v>
      </c>
      <c r="C7" s="5" t="n">
        <v>0.5</v>
      </c>
      <c r="D7" s="5" t="n">
        <v>101</v>
      </c>
      <c r="E7" s="5" t="n">
        <v>400</v>
      </c>
      <c r="F7" s="6" t="n">
        <v>49.94</v>
      </c>
      <c r="G7" s="6" t="n">
        <f aca="false">1/(2*PI()*SQRT(2*B7*0.000000001*(D7+E7/1000)*0.000000000001))/1000000</f>
        <v>49.9805641816459</v>
      </c>
      <c r="H7" s="7" t="n">
        <v>0.14</v>
      </c>
      <c r="I7" s="7"/>
      <c r="J7" s="4"/>
      <c r="K7" s="8" t="n">
        <v>0.13</v>
      </c>
      <c r="L7" s="4"/>
      <c r="M7" s="4" t="s">
        <v>20</v>
      </c>
    </row>
    <row r="8" customFormat="false" ht="15" hidden="false" customHeight="false" outlineLevel="0" collapsed="false">
      <c r="A8" s="9" t="s">
        <v>21</v>
      </c>
      <c r="B8" s="10" t="n">
        <v>100</v>
      </c>
      <c r="C8" s="10" t="n">
        <v>1</v>
      </c>
      <c r="D8" s="10" t="n">
        <v>101</v>
      </c>
      <c r="E8" s="10" t="n">
        <v>400</v>
      </c>
      <c r="F8" s="11" t="n">
        <v>49.98</v>
      </c>
      <c r="G8" s="11" t="n">
        <f aca="false">1/(2*PI()*SQRT(B8*0.000000001*(D8+E8/1000)*0.000000000001))/1000000</f>
        <v>49.9805641816459</v>
      </c>
      <c r="H8" s="12" t="n">
        <v>0.02</v>
      </c>
      <c r="I8" s="12"/>
      <c r="J8" s="9"/>
      <c r="K8" s="13"/>
      <c r="L8" s="9"/>
      <c r="M8" s="9" t="s">
        <v>22</v>
      </c>
    </row>
    <row r="9" customFormat="false" ht="15" hidden="false" customHeight="false" outlineLevel="0" collapsed="false">
      <c r="A9" s="4" t="s">
        <v>23</v>
      </c>
      <c r="B9" s="5" t="n">
        <v>100</v>
      </c>
      <c r="C9" s="5" t="n">
        <v>1</v>
      </c>
      <c r="D9" s="5" t="n">
        <v>101</v>
      </c>
      <c r="E9" s="5" t="n">
        <v>70000</v>
      </c>
      <c r="F9" s="6" t="n">
        <v>38.44</v>
      </c>
      <c r="G9" s="6" t="n">
        <f aca="false">1/(2*PI()*SQRT(B9*0.000000001*(D9+E9/1000)*0.000000000001))/1000000</f>
        <v>38.4877104335935</v>
      </c>
      <c r="H9" s="7" t="n">
        <v>28.1</v>
      </c>
      <c r="I9" s="7"/>
      <c r="J9" s="4"/>
      <c r="K9" s="8"/>
      <c r="L9" s="4"/>
      <c r="M9" s="4" t="s">
        <v>24</v>
      </c>
    </row>
    <row r="11" customFormat="false" ht="15" hidden="false" customHeight="false" outlineLevel="0" collapsed="false">
      <c r="A11" s="2" t="s">
        <v>25</v>
      </c>
    </row>
    <row r="12" customFormat="false" ht="15" hidden="false" customHeight="false" outlineLevel="0" collapsed="false">
      <c r="A12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0"/>
  </cols>
  <sheetData>
    <row r="1" customFormat="false" ht="16.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14" t="s">
        <v>29</v>
      </c>
      <c r="B4" s="15" t="n">
        <v>3E-008</v>
      </c>
      <c r="C4" s="16" t="s">
        <v>30</v>
      </c>
    </row>
    <row r="5" customFormat="false" ht="15" hidden="false" customHeight="false" outlineLevel="0" collapsed="false">
      <c r="A5" s="14" t="s">
        <v>31</v>
      </c>
      <c r="B5" s="15" t="n">
        <v>1.5</v>
      </c>
      <c r="C5" s="16" t="s">
        <v>32</v>
      </c>
    </row>
    <row r="6" customFormat="false" ht="15" hidden="false" customHeight="false" outlineLevel="0" collapsed="false">
      <c r="A6" s="14" t="s">
        <v>33</v>
      </c>
      <c r="B6" s="15" t="n">
        <v>1E-007</v>
      </c>
      <c r="C6" s="16" t="s">
        <v>34</v>
      </c>
    </row>
    <row r="7" customFormat="false" ht="15" hidden="false" customHeight="false" outlineLevel="0" collapsed="false">
      <c r="A7" s="14" t="s">
        <v>35</v>
      </c>
      <c r="B7" s="15" t="n">
        <v>1</v>
      </c>
      <c r="C7" s="16" t="s">
        <v>36</v>
      </c>
    </row>
    <row r="8" customFormat="false" ht="15" hidden="false" customHeight="false" outlineLevel="0" collapsed="false">
      <c r="A8" s="14" t="s">
        <v>37</v>
      </c>
      <c r="B8" s="17" t="n">
        <v>10200</v>
      </c>
      <c r="C8" s="16" t="s">
        <v>38</v>
      </c>
    </row>
    <row r="9" customFormat="false" ht="15" hidden="false" customHeight="false" outlineLevel="0" collapsed="false">
      <c r="A9" s="14" t="s">
        <v>39</v>
      </c>
      <c r="B9" s="17" t="n">
        <v>3.15</v>
      </c>
      <c r="C9" s="16" t="s">
        <v>40</v>
      </c>
    </row>
    <row r="10" customFormat="false" ht="15" hidden="false" customHeight="false" outlineLevel="0" collapsed="false">
      <c r="A10" s="14" t="s">
        <v>41</v>
      </c>
      <c r="B10" s="15" t="n">
        <v>30000</v>
      </c>
      <c r="C10" s="16" t="s">
        <v>42</v>
      </c>
    </row>
    <row r="11" customFormat="false" ht="15" hidden="false" customHeight="false" outlineLevel="0" collapsed="false">
      <c r="A11" s="14" t="s">
        <v>43</v>
      </c>
      <c r="B11" s="15" t="n">
        <v>1.5</v>
      </c>
      <c r="C11" s="16" t="s">
        <v>44</v>
      </c>
    </row>
    <row r="13" customFormat="false" ht="39.55" hidden="false" customHeight="false" outlineLevel="0" collapsed="false">
      <c r="A13" s="3" t="s">
        <v>45</v>
      </c>
      <c r="B13" s="3" t="s">
        <v>46</v>
      </c>
      <c r="C13" s="3" t="s">
        <v>47</v>
      </c>
      <c r="D13" s="3" t="s">
        <v>48</v>
      </c>
      <c r="E13" s="3" t="s">
        <v>49</v>
      </c>
      <c r="F13" s="3" t="s">
        <v>50</v>
      </c>
      <c r="G13" s="3" t="s">
        <v>51</v>
      </c>
      <c r="H13" s="3" t="s">
        <v>52</v>
      </c>
      <c r="I13" s="3" t="s">
        <v>53</v>
      </c>
      <c r="J13" s="3" t="s">
        <v>54</v>
      </c>
      <c r="K13" s="3" t="s">
        <v>55</v>
      </c>
      <c r="L13" s="3" t="s">
        <v>56</v>
      </c>
    </row>
    <row r="14" customFormat="false" ht="15" hidden="false" customHeight="false" outlineLevel="0" collapsed="false">
      <c r="A14" s="4" t="n">
        <v>1</v>
      </c>
      <c r="B14" s="5" t="n">
        <v>50</v>
      </c>
      <c r="C14" s="5" t="n">
        <v>337.737</v>
      </c>
      <c r="D14" s="18" t="n">
        <f aca="false">1/(2*PI()*SQRT($B$4*C14/1000000000000))/1000000</f>
        <v>50.0000206379324</v>
      </c>
      <c r="E14" s="4" t="s">
        <v>57</v>
      </c>
      <c r="F14" s="7" t="n">
        <f aca="false">2*PI()*D14*1000000*$B$4/$B$5</f>
        <v>6.28318790061866</v>
      </c>
      <c r="G14" s="6" t="n">
        <f aca="false">(1/(POWER(2*PI()*B14*1000000,2)*$B$6)-H14/1000000000000000)*1000000000000</f>
        <v>101.009115126471</v>
      </c>
      <c r="H14" s="7" t="n">
        <f aca="false">1/(2*PI()*B14*1000000*$B$8)*1000000000000000</f>
        <v>312.068515866461</v>
      </c>
      <c r="I14" s="19" t="n">
        <f aca="false">B14*1000000/$B$10</f>
        <v>1666.66666666667</v>
      </c>
      <c r="J14" s="7" t="n">
        <f aca="false">2*PI()*B14*1000000*$B$6/$B$7</f>
        <v>31.4159265358979</v>
      </c>
      <c r="K14" s="6" t="n">
        <f aca="false">0.6526*POWER(100/B14,$B$9)</f>
        <v>5.7928402997718</v>
      </c>
      <c r="L14" s="6" t="n">
        <f aca="false">$B$11*K14</f>
        <v>8.68926044965771</v>
      </c>
    </row>
    <row r="15" customFormat="false" ht="15" hidden="false" customHeight="false" outlineLevel="0" collapsed="false">
      <c r="A15" s="9" t="n">
        <v>2</v>
      </c>
      <c r="B15" s="10" t="n">
        <v>66.667</v>
      </c>
      <c r="C15" s="10" t="n">
        <v>189.977</v>
      </c>
      <c r="D15" s="20" t="n">
        <f aca="false">1/(2*PI()*SQRT($B$4*C15/1000000000000))/1000000</f>
        <v>66.6667051501533</v>
      </c>
      <c r="E15" s="9" t="s">
        <v>58</v>
      </c>
      <c r="F15" s="12" t="n">
        <f aca="false">2*PI()*D15*1000000*$B$4/$B$5</f>
        <v>8.37758524555033</v>
      </c>
      <c r="G15" s="11" t="n">
        <f aca="false">(1/(POWER(2*PI()*B15*1000000,2)*$B$6)-H15/1000000000000000)*1000000000000</f>
        <v>56.7585456547827</v>
      </c>
      <c r="H15" s="12" t="n">
        <f aca="false">1/(2*PI()*B15*1000000*$B$8)*1000000000000000</f>
        <v>234.050216648763</v>
      </c>
      <c r="I15" s="21" t="n">
        <f aca="false">B15*1000000/$B$10</f>
        <v>2222.23333333333</v>
      </c>
      <c r="J15" s="12" t="n">
        <f aca="false">2*PI()*B15*1000000*$B$6/$B$7</f>
        <v>41.8881114873741</v>
      </c>
      <c r="K15" s="11" t="n">
        <f aca="false">0.6526*POWER(100/B15,$B$9)</f>
        <v>2.34060266594175</v>
      </c>
      <c r="L15" s="11" t="n">
        <f aca="false">$B$11*K15</f>
        <v>3.51090399891263</v>
      </c>
    </row>
    <row r="16" customFormat="false" ht="15" hidden="false" customHeight="false" outlineLevel="0" collapsed="false">
      <c r="A16" s="4" t="n">
        <v>3</v>
      </c>
      <c r="B16" s="5" t="n">
        <v>83.333</v>
      </c>
      <c r="C16" s="5" t="n">
        <v>121.585</v>
      </c>
      <c r="D16" s="18" t="n">
        <f aca="false">1/(2*PI()*SQRT($B$4*C16/1000000000000))/1000000</f>
        <v>83.3334773925107</v>
      </c>
      <c r="E16" s="4" t="s">
        <v>59</v>
      </c>
      <c r="F16" s="7" t="n">
        <f aca="false">2*PI()*D16*1000000*$B$4/$B$5</f>
        <v>10.4719936149761</v>
      </c>
      <c r="G16" s="6" t="n">
        <f aca="false">(1/(POWER(2*PI()*B16*1000000,2)*$B$6)-H16/1000000000000000)*1000000000000</f>
        <v>36.288676059514</v>
      </c>
      <c r="H16" s="7" t="n">
        <f aca="false">1/(2*PI()*B16*1000000*$B$8)*1000000000000000</f>
        <v>187.241858487311</v>
      </c>
      <c r="I16" s="19" t="n">
        <f aca="false">B16*1000000/$B$10</f>
        <v>2777.76666666667</v>
      </c>
      <c r="J16" s="7" t="n">
        <f aca="false">2*PI()*B16*1000000*$B$6/$B$7</f>
        <v>52.3596681203197</v>
      </c>
      <c r="K16" s="6" t="n">
        <f aca="false">0.6526*POWER(100/B16,$B$9)</f>
        <v>1.15897339516554</v>
      </c>
      <c r="L16" s="6" t="n">
        <f aca="false">$B$11*K16</f>
        <v>1.73846009274831</v>
      </c>
    </row>
    <row r="17" customFormat="false" ht="15" hidden="false" customHeight="false" outlineLevel="0" collapsed="false">
      <c r="A17" s="9" t="n">
        <v>4</v>
      </c>
      <c r="B17" s="10" t="n">
        <v>100</v>
      </c>
      <c r="C17" s="10" t="n">
        <v>84.434</v>
      </c>
      <c r="D17" s="20" t="n">
        <f aca="false">1/(2*PI()*SQRT($B$4*C17/1000000000000))/1000000</f>
        <v>100.000189320443</v>
      </c>
      <c r="E17" s="9" t="s">
        <v>58</v>
      </c>
      <c r="F17" s="12" t="n">
        <f aca="false">2*PI()*D17*1000000*$B$4/$B$5</f>
        <v>12.5663944050677</v>
      </c>
      <c r="G17" s="11" t="n">
        <f aca="false">(1/(POWER(2*PI()*B17*1000000,2)*$B$6)-H17/1000000000000000)*1000000000000</f>
        <v>25.1742616526512</v>
      </c>
      <c r="H17" s="12" t="n">
        <f aca="false">1/(2*PI()*B17*1000000*$B$8)*1000000000000000</f>
        <v>156.034257933231</v>
      </c>
      <c r="I17" s="21" t="n">
        <f aca="false">B17*1000000/$B$10</f>
        <v>3333.33333333333</v>
      </c>
      <c r="J17" s="12" t="n">
        <f aca="false">2*PI()*B17*1000000*$B$6/$B$7</f>
        <v>62.8318530717959</v>
      </c>
      <c r="K17" s="11" t="n">
        <f aca="false">0.6526*POWER(100/B17,$B$9)</f>
        <v>0.6526</v>
      </c>
      <c r="L17" s="11" t="n">
        <f aca="false">$B$11*K17</f>
        <v>0.9789</v>
      </c>
    </row>
    <row r="18" customFormat="false" ht="15" hidden="false" customHeight="false" outlineLevel="0" collapsed="false">
      <c r="A18" s="4" t="n">
        <v>5</v>
      </c>
      <c r="B18" s="5" t="n">
        <v>116.667</v>
      </c>
      <c r="C18" s="5" t="n">
        <v>62.033</v>
      </c>
      <c r="D18" s="18" t="n">
        <f aca="false">1/(2*PI()*SQRT($B$4*C18/1000000000000))/1000000</f>
        <v>116.667021877794</v>
      </c>
      <c r="E18" s="4" t="s">
        <v>60</v>
      </c>
      <c r="F18" s="7" t="n">
        <f aca="false">2*PI()*D18*1000000*$B$4/$B$5</f>
        <v>14.6608103538991</v>
      </c>
      <c r="G18" s="6" t="n">
        <f aca="false">(1/(POWER(2*PI()*B18*1000000,2)*$B$6)-H18/1000000000000000)*1000000000000</f>
        <v>18.4761637120511</v>
      </c>
      <c r="H18" s="7" t="n">
        <f aca="false">1/(2*PI()*B18*1000000*$B$8)*1000000000000000</f>
        <v>133.743267533433</v>
      </c>
      <c r="I18" s="19" t="n">
        <f aca="false">B18*1000000/$B$10</f>
        <v>3888.9</v>
      </c>
      <c r="J18" s="7" t="n">
        <f aca="false">2*PI()*B18*1000000*$B$6/$B$7</f>
        <v>73.3040380232721</v>
      </c>
      <c r="K18" s="6" t="n">
        <f aca="false">0.6526*POWER(100/B18,$B$9)</f>
        <v>0.401569549568896</v>
      </c>
      <c r="L18" s="6" t="n">
        <f aca="false">$B$11*K18</f>
        <v>0.602354324353344</v>
      </c>
    </row>
    <row r="19" customFormat="false" ht="15" hidden="false" customHeight="false" outlineLevel="0" collapsed="false">
      <c r="A19" s="9" t="n">
        <v>6</v>
      </c>
      <c r="B19" s="10" t="n">
        <v>133.333</v>
      </c>
      <c r="C19" s="10" t="n">
        <v>47.494</v>
      </c>
      <c r="D19" s="20" t="n">
        <f aca="false">1/(2*PI()*SQRT($B$4*C19/1000000000000))/1000000</f>
        <v>133.333761221567</v>
      </c>
      <c r="E19" s="9" t="s">
        <v>58</v>
      </c>
      <c r="F19" s="12" t="n">
        <f aca="false">2*PI()*D19*1000000*$B$4/$B$5</f>
        <v>16.7552145891668</v>
      </c>
      <c r="G19" s="11" t="n">
        <f aca="false">(1/(POWER(2*PI()*B19*1000000,2)*$B$6)-H19/1000000000000000)*1000000000000</f>
        <v>14.1313367054133</v>
      </c>
      <c r="H19" s="12" t="n">
        <f aca="false">1/(2*PI()*B19*1000000*$B$8)*1000000000000000</f>
        <v>117.025986014888</v>
      </c>
      <c r="I19" s="21" t="n">
        <f aca="false">B19*1000000/$B$10</f>
        <v>4444.43333333333</v>
      </c>
      <c r="J19" s="12" t="n">
        <f aca="false">2*PI()*B19*1000000*$B$6/$B$7</f>
        <v>83.7755946562176</v>
      </c>
      <c r="K19" s="11" t="n">
        <f aca="false">0.6526*POWER(100/B19,$B$9)</f>
        <v>0.263689884025654</v>
      </c>
      <c r="L19" s="11" t="n">
        <f aca="false">$B$11*K19</f>
        <v>0.395534826038481</v>
      </c>
    </row>
    <row r="20" customFormat="false" ht="15" hidden="false" customHeight="false" outlineLevel="0" collapsed="false">
      <c r="A20" s="4" t="n">
        <v>7</v>
      </c>
      <c r="B20" s="5" t="n">
        <v>150</v>
      </c>
      <c r="C20" s="5" t="n">
        <v>37.526</v>
      </c>
      <c r="D20" s="18" t="n">
        <f aca="false">1/(2*PI()*SQRT($B$4*C20/1000000000000))/1000000</f>
        <v>150.000728117357</v>
      </c>
      <c r="E20" s="4" t="s">
        <v>58</v>
      </c>
      <c r="F20" s="7" t="n">
        <f aca="false">2*PI()*D20*1000000*$B$4/$B$5</f>
        <v>18.8496474194644</v>
      </c>
      <c r="G20" s="6" t="n">
        <f aca="false">(1/(POWER(2*PI()*B20*1000000,2)*$B$6)-H20/1000000000000000)*1000000000000</f>
        <v>11.1538864549709</v>
      </c>
      <c r="H20" s="7" t="n">
        <f aca="false">1/(2*PI()*B20*1000000*$B$8)*1000000000000000</f>
        <v>104.022838622154</v>
      </c>
      <c r="I20" s="19" t="n">
        <f aca="false">B20*1000000/$B$10</f>
        <v>5000</v>
      </c>
      <c r="J20" s="7" t="n">
        <f aca="false">2*PI()*B20*1000000*$B$6/$B$7</f>
        <v>94.2477796076938</v>
      </c>
      <c r="K20" s="6" t="n">
        <f aca="false">0.6526*POWER(100/B20,$B$9)</f>
        <v>0.18195316041895</v>
      </c>
      <c r="L20" s="6" t="n">
        <f aca="false">$B$11*K20</f>
        <v>0.272929740628425</v>
      </c>
    </row>
    <row r="21" customFormat="false" ht="15" hidden="false" customHeight="false" outlineLevel="0" collapsed="false">
      <c r="A21" s="9" t="n">
        <v>8</v>
      </c>
      <c r="B21" s="10" t="n">
        <v>166.667</v>
      </c>
      <c r="C21" s="10" t="n">
        <v>30.396</v>
      </c>
      <c r="D21" s="20" t="n">
        <f aca="false">1/(2*PI()*SQRT($B$4*C21/1000000000000))/1000000</f>
        <v>166.667640181998</v>
      </c>
      <c r="E21" s="9" t="s">
        <v>58</v>
      </c>
      <c r="F21" s="12" t="n">
        <f aca="false">2*PI()*D21*1000000*$B$4/$B$5</f>
        <v>20.9440733594765</v>
      </c>
      <c r="G21" s="11" t="n">
        <f aca="false">(1/(POWER(2*PI()*B21*1000000,2)*$B$6)-H21/1000000000000000)*1000000000000</f>
        <v>9.02524968477451</v>
      </c>
      <c r="H21" s="12" t="n">
        <f aca="false">1/(2*PI()*B21*1000000*$B$8)*1000000000000000</f>
        <v>93.6203675192034</v>
      </c>
      <c r="I21" s="21" t="n">
        <f aca="false">B21*1000000/$B$10</f>
        <v>5555.56666666667</v>
      </c>
      <c r="J21" s="12" t="n">
        <f aca="false">2*PI()*B21*1000000*$B$6/$B$7</f>
        <v>104.71996455917</v>
      </c>
      <c r="K21" s="11" t="n">
        <f aca="false">0.6526*POWER(100/B21,$B$9)</f>
        <v>0.130563195898134</v>
      </c>
      <c r="L21" s="11" t="n">
        <f aca="false">$B$11*K21</f>
        <v>0.195844793847201</v>
      </c>
    </row>
    <row r="22" customFormat="false" ht="15" hidden="false" customHeight="false" outlineLevel="0" collapsed="false">
      <c r="A22" s="4" t="n">
        <v>9</v>
      </c>
      <c r="B22" s="5" t="n">
        <v>183.333</v>
      </c>
      <c r="C22" s="5" t="n">
        <v>25.1209</v>
      </c>
      <c r="D22" s="18" t="n">
        <f aca="false">1/(2*PI()*SQRT($B$4*C22/1000000000000))/1000000</f>
        <v>183.333532650241</v>
      </c>
      <c r="E22" s="4" t="s">
        <v>58</v>
      </c>
      <c r="F22" s="7" t="n">
        <f aca="false">2*PI()*D22*1000000*$B$4/$B$5</f>
        <v>23.0383711732265</v>
      </c>
      <c r="G22" s="6" t="n">
        <f aca="false">(1/(POWER(2*PI()*B22*1000000,2)*$B$6)-H22/1000000000000000)*1000000000000</f>
        <v>7.45120404139137</v>
      </c>
      <c r="H22" s="7" t="n">
        <f aca="false">1/(2*PI()*B22*1000000*$B$8)*1000000000000000</f>
        <v>85.1097499813076</v>
      </c>
      <c r="I22" s="19" t="n">
        <f aca="false">B22*1000000/$B$10</f>
        <v>6111.1</v>
      </c>
      <c r="J22" s="7" t="n">
        <f aca="false">2*PI()*B22*1000000*$B$6/$B$7</f>
        <v>115.191521192116</v>
      </c>
      <c r="K22" s="6" t="n">
        <f aca="false">0.6526*POWER(100/B22,$B$9)</f>
        <v>0.0967027973520878</v>
      </c>
      <c r="L22" s="6" t="n">
        <f aca="false">$B$11*K22</f>
        <v>0.145054196028132</v>
      </c>
    </row>
    <row r="23" customFormat="false" ht="15" hidden="false" customHeight="false" outlineLevel="0" collapsed="false">
      <c r="A23" s="9" t="n">
        <v>10</v>
      </c>
      <c r="B23" s="10" t="n">
        <v>200</v>
      </c>
      <c r="C23" s="10" t="n">
        <v>21.108</v>
      </c>
      <c r="D23" s="20" t="n">
        <f aca="false">1/(2*PI()*SQRT($B$4*C23/1000000000000))/1000000</f>
        <v>200.002747401477</v>
      </c>
      <c r="E23" s="9" t="s">
        <v>61</v>
      </c>
      <c r="F23" s="12" t="n">
        <f aca="false">2*PI()*D23*1000000*$B$4/$B$5</f>
        <v>25.1330864773703</v>
      </c>
      <c r="G23" s="11" t="n">
        <f aca="false">(1/(POWER(2*PI()*B23*1000000,2)*$B$6)-H23/1000000000000000)*1000000000000</f>
        <v>6.2545568486795</v>
      </c>
      <c r="H23" s="12" t="n">
        <f aca="false">1/(2*PI()*B23*1000000*$B$8)*1000000000000000</f>
        <v>78.0171289666154</v>
      </c>
      <c r="I23" s="21" t="n">
        <f aca="false">B23*1000000/$B$10</f>
        <v>6666.66666666667</v>
      </c>
      <c r="J23" s="12" t="n">
        <f aca="false">2*PI()*B23*1000000*$B$6/$B$7</f>
        <v>125.663706143592</v>
      </c>
      <c r="K23" s="11" t="n">
        <f aca="false">0.6526*POWER(100/B23,$B$9)</f>
        <v>0.0735195064874785</v>
      </c>
      <c r="L23" s="11" t="n">
        <f aca="false">$B$11*K23</f>
        <v>0.110279259731218</v>
      </c>
    </row>
    <row r="24" customFormat="false" ht="15" hidden="false" customHeight="false" outlineLevel="0" collapsed="false">
      <c r="J24" s="14" t="s">
        <v>62</v>
      </c>
      <c r="K24" s="22" t="n">
        <f aca="false">SUM(K14:K23)</f>
        <v>11.0930144546303</v>
      </c>
      <c r="L24" s="23" t="n">
        <f aca="false">SUM(L14:L23)</f>
        <v>16.6395216819454</v>
      </c>
    </row>
    <row r="26" customFormat="false" ht="15" hidden="false" customHeight="false" outlineLevel="0" collapsed="false">
      <c r="A26" s="24" t="s">
        <v>63</v>
      </c>
    </row>
    <row r="27" customFormat="false" ht="15" hidden="false" customHeight="false" outlineLevel="0" collapsed="false">
      <c r="A27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2" customFormat="false" ht="15" hidden="false" customHeight="false" outlineLevel="0" collapsed="false">
      <c r="A2" s="14" t="s">
        <v>65</v>
      </c>
    </row>
    <row r="3" customFormat="false" ht="15" hidden="false" customHeight="false" outlineLevel="0" collapsed="false">
      <c r="A3" s="25" t="s">
        <v>66</v>
      </c>
    </row>
    <row r="4" customFormat="false" ht="15" hidden="false" customHeight="false" outlineLevel="0" collapsed="false">
      <c r="A4" s="25" t="s">
        <v>67</v>
      </c>
    </row>
    <row r="5" customFormat="false" ht="15" hidden="false" customHeight="false" outlineLevel="0" collapsed="false">
      <c r="A5" s="25" t="s">
        <v>68</v>
      </c>
    </row>
    <row r="6" customFormat="false" ht="15" hidden="false" customHeight="false" outlineLevel="0" collapsed="false">
      <c r="A6" s="25" t="s">
        <v>69</v>
      </c>
    </row>
    <row r="7" customFormat="false" ht="15" hidden="false" customHeight="false" outlineLevel="0" collapsed="false">
      <c r="A7" s="25" t="s">
        <v>70</v>
      </c>
    </row>
    <row r="8" customFormat="false" ht="15" hidden="false" customHeight="false" outlineLevel="0" collapsed="false">
      <c r="A8" s="25" t="s">
        <v>71</v>
      </c>
    </row>
    <row r="9" customFormat="false" ht="15" hidden="false" customHeight="false" outlineLevel="0" collapsed="false">
      <c r="A9" s="25" t="s">
        <v>72</v>
      </c>
    </row>
    <row r="10" customFormat="false" ht="15" hidden="false" customHeight="false" outlineLevel="0" collapsed="false">
      <c r="A10" s="25"/>
    </row>
    <row r="11" customFormat="false" ht="15" hidden="false" customHeight="false" outlineLevel="0" collapsed="false">
      <c r="A11" s="14" t="s">
        <v>73</v>
      </c>
    </row>
    <row r="12" customFormat="false" ht="15" hidden="false" customHeight="false" outlineLevel="0" collapsed="false">
      <c r="A12" s="25" t="s">
        <v>74</v>
      </c>
    </row>
    <row r="13" customFormat="false" ht="15" hidden="false" customHeight="false" outlineLevel="0" collapsed="false">
      <c r="A13" s="25" t="s">
        <v>75</v>
      </c>
    </row>
    <row r="14" customFormat="false" ht="15" hidden="false" customHeight="false" outlineLevel="0" collapsed="false">
      <c r="A14" s="25" t="s">
        <v>76</v>
      </c>
    </row>
    <row r="15" customFormat="false" ht="15" hidden="false" customHeight="false" outlineLevel="0" collapsed="false">
      <c r="A15" s="25" t="s">
        <v>77</v>
      </c>
    </row>
    <row r="16" customFormat="false" ht="15" hidden="false" customHeight="false" outlineLevel="0" collapsed="false">
      <c r="A16" s="25" t="s">
        <v>78</v>
      </c>
    </row>
    <row r="17" customFormat="false" ht="15" hidden="false" customHeight="false" outlineLevel="0" collapsed="false">
      <c r="A17" s="25" t="s">
        <v>79</v>
      </c>
    </row>
    <row r="18" customFormat="false" ht="15" hidden="false" customHeight="false" outlineLevel="0" collapsed="false">
      <c r="A18" s="25"/>
    </row>
    <row r="19" customFormat="false" ht="15" hidden="false" customHeight="false" outlineLevel="0" collapsed="false">
      <c r="A19" s="14" t="s">
        <v>80</v>
      </c>
    </row>
    <row r="20" customFormat="false" ht="15" hidden="false" customHeight="false" outlineLevel="0" collapsed="false">
      <c r="A20" s="25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2026-08-19T02:47:20Z</dcterms:created>
  <dc:creator>openpyxl</dc:creator>
  <dc:description/>
  <dc:language>en-US</dc:language>
  <cp:lastModifiedBy/>
  <dcterms:modified xsi:type="dcterms:W3CDTF">2026-08-19T02:47:20Z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