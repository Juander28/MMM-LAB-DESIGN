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=10nH" sheetId="1" state="visible" r:id="rId3"/>
    <sheet name="L=20nH" sheetId="2" state="visible" r:id="rId4"/>
    <sheet name="L=30nH" sheetId="3" state="visible" r:id="rId5"/>
    <sheet name="L=40nH" sheetId="4" state="visible" r:id="rId6"/>
    <sheet name="L=50nH" sheetId="5" state="visible" r:id="rId7"/>
    <sheet name="L=60nH" sheetId="6" state="visible" r:id="rId8"/>
    <sheet name="L=70nH" sheetId="7" state="visible" r:id="rId9"/>
    <sheet name="L=80nH" sheetId="8" state="visible" r:id="rId10"/>
    <sheet name="L=90nH" sheetId="9" state="visible" r:id="rId11"/>
    <sheet name="L=100nH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sharedStrings.xml><?xml version="1.0" encoding="utf-8"?>
<sst xmlns="http://schemas.openxmlformats.org/spreadsheetml/2006/main" count="120" uniqueCount="12">
  <si>
    <t xml:space="preserve">Channel</t>
  </si>
  <si>
    <t xml:space="preserve">Frequency (MHz)</t>
  </si>
  <si>
    <t xml:space="preserve">Capacitance (pF)</t>
  </si>
  <si>
    <t xml:space="preserve">Frequency (Hz)</t>
  </si>
  <si>
    <t xml:space="preserve">Capacitance (F)</t>
  </si>
  <si>
    <t xml:space="preserve">L (nH)</t>
  </si>
  <si>
    <t xml:space="preserve">L (H)</t>
  </si>
  <si>
    <t xml:space="preserve"># Channels</t>
  </si>
  <si>
    <t xml:space="preserve">Band (MHz)</t>
  </si>
  <si>
    <t xml:space="preserve">50-200</t>
  </si>
  <si>
    <t xml:space="preserve">Formula</t>
  </si>
  <si>
    <t xml:space="preserve">C = 1/(4*pi^2*f0^2*L)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</si>
</sst>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0"/>
    <numFmt numFmtId="167" formatCode="0.000"/>
    <numFmt numFmtId="168" formatCode="#,##0"/>
    <numFmt numFmtId="169" formatCode="0.000E+00"/>
  </numFmts>
  <fonts count="12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10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'L=10nH'!C1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'L=10nH'!$B$2:$B$11</c:f>
              <c:numCache>
                <c:formatCode>0.0000</c:formatCode>
                <c:ptCount val="10"/>
                <c:pt idx="0">
                  <c:v>50</c:v>
                </c:pt>
                <c:pt idx="1">
                  <c:v>66.6666666666667</c:v>
                </c:pt>
                <c:pt idx="2">
                  <c:v>83.3333333333333</c:v>
                </c:pt>
                <c:pt idx="3">
                  <c:v>100</c:v>
                </c:pt>
                <c:pt idx="4">
                  <c:v>116.666666666667</c:v>
                </c:pt>
                <c:pt idx="5">
                  <c:v>133.333333333333</c:v>
                </c:pt>
                <c:pt idx="6">
                  <c:v>150</c:v>
                </c:pt>
                <c:pt idx="7">
                  <c:v>166.666666666667</c:v>
                </c:pt>
                <c:pt idx="8">
                  <c:v>183.333333333333</c:v>
                </c:pt>
                <c:pt idx="9">
                  <c:v>200</c:v>
                </c:pt>
              </c:numCache>
            </c:numRef>
          </c:xVal>
          <c:yVal>
            <c:numRef>
              <c:f>'L=10nH'!$C$2:$C$11</c:f>
              <c:numCache>
                <c:formatCode>0.000</c:formatCode>
                <c:ptCount val="10"/>
                <c:pt idx="0">
                  <c:v>1013.21183642338</c:v>
                </c:pt>
                <c:pt idx="1">
                  <c:v>569.93165798815</c:v>
                </c:pt>
                <c:pt idx="2">
                  <c:v>364.756261112416</c:v>
                </c:pt>
                <c:pt idx="3">
                  <c:v>253.302959105844</c:v>
                </c:pt>
                <c:pt idx="4">
                  <c:v>186.10013322062</c:v>
                </c:pt>
                <c:pt idx="5">
                  <c:v>142.482914497038</c:v>
                </c:pt>
                <c:pt idx="6">
                  <c:v>112.579092935931</c:v>
                </c:pt>
                <c:pt idx="7">
                  <c:v>91.1890652781039</c:v>
                </c:pt>
                <c:pt idx="8">
                  <c:v>75.3628638662017</c:v>
                </c:pt>
                <c:pt idx="9">
                  <c:v>63.3257397764611</c:v>
                </c:pt>
              </c:numCache>
            </c:numRef>
          </c:yVal>
          <c:smooth val="0"/>
        </c:ser>
        <c:axId val="69723265"/>
        <c:axId val="41417"/>
      </c:scatterChart>
      <c:valAx>
        <c:axId val="697232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17"/>
        <c:crosses val="autoZero"/>
        <c:crossBetween val="midCat"/>
      </c:valAx>
      <c:valAx>
        <c:axId val="414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232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20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'L=20nH'!C1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'L=20nH'!$B$2:$B$11</c:f>
              <c:numCache>
                <c:formatCode>0.0000</c:formatCode>
                <c:ptCount val="10"/>
                <c:pt idx="0">
                  <c:v>50</c:v>
                </c:pt>
                <c:pt idx="1">
                  <c:v>66.6666666666667</c:v>
                </c:pt>
                <c:pt idx="2">
                  <c:v>83.3333333333333</c:v>
                </c:pt>
                <c:pt idx="3">
                  <c:v>100</c:v>
                </c:pt>
                <c:pt idx="4">
                  <c:v>116.666666666667</c:v>
                </c:pt>
                <c:pt idx="5">
                  <c:v>133.333333333333</c:v>
                </c:pt>
                <c:pt idx="6">
                  <c:v>150</c:v>
                </c:pt>
                <c:pt idx="7">
                  <c:v>166.666666666667</c:v>
                </c:pt>
                <c:pt idx="8">
                  <c:v>183.333333333333</c:v>
                </c:pt>
                <c:pt idx="9">
                  <c:v>200</c:v>
                </c:pt>
              </c:numCache>
            </c:numRef>
          </c:xVal>
          <c:yVal>
            <c:numRef>
              <c:f>'L=20nH'!$C$2:$C$11</c:f>
              <c:numCache>
                <c:formatCode>0.000</c:formatCode>
                <c:ptCount val="10"/>
                <c:pt idx="0">
                  <c:v>506.605918211689</c:v>
                </c:pt>
                <c:pt idx="1">
                  <c:v>284.965828994075</c:v>
                </c:pt>
                <c:pt idx="2">
                  <c:v>182.378130556208</c:v>
                </c:pt>
                <c:pt idx="3">
                  <c:v>126.651479552922</c:v>
                </c:pt>
                <c:pt idx="4">
                  <c:v>93.0500666103101</c:v>
                </c:pt>
                <c:pt idx="5">
                  <c:v>71.2414572485188</c:v>
                </c:pt>
                <c:pt idx="6">
                  <c:v>56.2895464679654</c:v>
                </c:pt>
                <c:pt idx="7">
                  <c:v>45.594532639052</c:v>
                </c:pt>
                <c:pt idx="8">
                  <c:v>37.6814319331008</c:v>
                </c:pt>
                <c:pt idx="9">
                  <c:v>31.6628698882306</c:v>
                </c:pt>
              </c:numCache>
            </c:numRef>
          </c:yVal>
          <c:smooth val="0"/>
        </c:ser>
        <c:axId val="75009305"/>
        <c:axId val="31724135"/>
      </c:scatterChart>
      <c:valAx>
        <c:axId val="7500930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24135"/>
        <c:crosses val="autoZero"/>
        <c:crossBetween val="midCat"/>
      </c:valAx>
      <c:valAx>
        <c:axId val="31724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093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30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'L=30nH'!C1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'L=30nH'!$B$2:$B$11</c:f>
              <c:numCache>
                <c:formatCode>0.0000</c:formatCode>
                <c:ptCount val="10"/>
                <c:pt idx="0">
                  <c:v>50</c:v>
                </c:pt>
                <c:pt idx="1">
                  <c:v>66.6666666666667</c:v>
                </c:pt>
                <c:pt idx="2">
                  <c:v>83.3333333333333</c:v>
                </c:pt>
                <c:pt idx="3">
                  <c:v>100</c:v>
                </c:pt>
                <c:pt idx="4">
                  <c:v>116.666666666667</c:v>
                </c:pt>
                <c:pt idx="5">
                  <c:v>133.333333333333</c:v>
                </c:pt>
                <c:pt idx="6">
                  <c:v>150</c:v>
                </c:pt>
                <c:pt idx="7">
                  <c:v>166.666666666667</c:v>
                </c:pt>
                <c:pt idx="8">
                  <c:v>183.333333333333</c:v>
                </c:pt>
                <c:pt idx="9">
                  <c:v>200</c:v>
                </c:pt>
              </c:numCache>
            </c:numRef>
          </c:xVal>
          <c:yVal>
            <c:numRef>
              <c:f>'L=30nH'!$C$2:$C$11</c:f>
              <c:numCache>
                <c:formatCode>0.000</c:formatCode>
                <c:ptCount val="10"/>
                <c:pt idx="0">
                  <c:v>337.737278807793</c:v>
                </c:pt>
                <c:pt idx="1">
                  <c:v>189.977219329383</c:v>
                </c:pt>
                <c:pt idx="2">
                  <c:v>121.585420370805</c:v>
                </c:pt>
                <c:pt idx="3">
                  <c:v>84.4343197019482</c:v>
                </c:pt>
                <c:pt idx="4">
                  <c:v>62.0333777402068</c:v>
                </c:pt>
                <c:pt idx="5">
                  <c:v>47.4943048323459</c:v>
                </c:pt>
                <c:pt idx="6">
                  <c:v>37.526364311977</c:v>
                </c:pt>
                <c:pt idx="7">
                  <c:v>30.3963550927013</c:v>
                </c:pt>
                <c:pt idx="8">
                  <c:v>25.1209546220672</c:v>
                </c:pt>
                <c:pt idx="9">
                  <c:v>21.108579925487</c:v>
                </c:pt>
              </c:numCache>
            </c:numRef>
          </c:yVal>
          <c:smooth val="0"/>
        </c:ser>
        <c:axId val="90554310"/>
        <c:axId val="16877606"/>
      </c:scatterChart>
      <c:valAx>
        <c:axId val="905543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77606"/>
        <c:crosses val="autoZero"/>
        <c:crossBetween val="midCat"/>
      </c:valAx>
      <c:valAx>
        <c:axId val="16877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5431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40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'L=40nH'!C1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'L=40nH'!$B$2:$B$11</c:f>
              <c:numCache>
                <c:formatCode>0.0000</c:formatCode>
                <c:ptCount val="10"/>
                <c:pt idx="0">
                  <c:v>50</c:v>
                </c:pt>
                <c:pt idx="1">
                  <c:v>66.6666666666667</c:v>
                </c:pt>
                <c:pt idx="2">
                  <c:v>83.3333333333333</c:v>
                </c:pt>
                <c:pt idx="3">
                  <c:v>100</c:v>
                </c:pt>
                <c:pt idx="4">
                  <c:v>116.666666666667</c:v>
                </c:pt>
                <c:pt idx="5">
                  <c:v>133.333333333333</c:v>
                </c:pt>
                <c:pt idx="6">
                  <c:v>150</c:v>
                </c:pt>
                <c:pt idx="7">
                  <c:v>166.666666666667</c:v>
                </c:pt>
                <c:pt idx="8">
                  <c:v>183.333333333333</c:v>
                </c:pt>
                <c:pt idx="9">
                  <c:v>200</c:v>
                </c:pt>
              </c:numCache>
            </c:numRef>
          </c:xVal>
          <c:yVal>
            <c:numRef>
              <c:f>'L=40nH'!$C$2:$C$11</c:f>
              <c:numCache>
                <c:formatCode>0.000</c:formatCode>
                <c:ptCount val="10"/>
                <c:pt idx="0">
                  <c:v>253.302959105844</c:v>
                </c:pt>
                <c:pt idx="1">
                  <c:v>142.482914497037</c:v>
                </c:pt>
                <c:pt idx="2">
                  <c:v>91.189065278104</c:v>
                </c:pt>
                <c:pt idx="3">
                  <c:v>63.3257397764611</c:v>
                </c:pt>
                <c:pt idx="4">
                  <c:v>46.5250333051551</c:v>
                </c:pt>
                <c:pt idx="5">
                  <c:v>35.6207286242594</c:v>
                </c:pt>
                <c:pt idx="6">
                  <c:v>28.1447732339827</c:v>
                </c:pt>
                <c:pt idx="7">
                  <c:v>22.797266319526</c:v>
                </c:pt>
                <c:pt idx="8">
                  <c:v>18.8407159665504</c:v>
                </c:pt>
                <c:pt idx="9">
                  <c:v>15.8314349441153</c:v>
                </c:pt>
              </c:numCache>
            </c:numRef>
          </c:yVal>
          <c:smooth val="0"/>
        </c:ser>
        <c:axId val="94638834"/>
        <c:axId val="54880881"/>
      </c:scatterChart>
      <c:valAx>
        <c:axId val="946388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80881"/>
        <c:crosses val="autoZero"/>
        <c:crossBetween val="midCat"/>
      </c:valAx>
      <c:valAx>
        <c:axId val="54880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3883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50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'L=50nH'!C1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'L=50nH'!$B$2:$B$11</c:f>
              <c:numCache>
                <c:formatCode>0.0000</c:formatCode>
                <c:ptCount val="10"/>
                <c:pt idx="0">
                  <c:v>50</c:v>
                </c:pt>
                <c:pt idx="1">
                  <c:v>66.6666666666667</c:v>
                </c:pt>
                <c:pt idx="2">
                  <c:v>83.3333333333333</c:v>
                </c:pt>
                <c:pt idx="3">
                  <c:v>100</c:v>
                </c:pt>
                <c:pt idx="4">
                  <c:v>116.666666666667</c:v>
                </c:pt>
                <c:pt idx="5">
                  <c:v>133.333333333333</c:v>
                </c:pt>
                <c:pt idx="6">
                  <c:v>150</c:v>
                </c:pt>
                <c:pt idx="7">
                  <c:v>166.666666666667</c:v>
                </c:pt>
                <c:pt idx="8">
                  <c:v>183.333333333333</c:v>
                </c:pt>
                <c:pt idx="9">
                  <c:v>200</c:v>
                </c:pt>
              </c:numCache>
            </c:numRef>
          </c:xVal>
          <c:yVal>
            <c:numRef>
              <c:f>'L=50nH'!$C$2:$C$11</c:f>
              <c:numCache>
                <c:formatCode>0.000</c:formatCode>
                <c:ptCount val="10"/>
                <c:pt idx="0">
                  <c:v>202.642367284676</c:v>
                </c:pt>
                <c:pt idx="1">
                  <c:v>113.98633159763</c:v>
                </c:pt>
                <c:pt idx="2">
                  <c:v>72.9512522224832</c:v>
                </c:pt>
                <c:pt idx="3">
                  <c:v>50.6605918211689</c:v>
                </c:pt>
                <c:pt idx="4">
                  <c:v>37.2200266441241</c:v>
                </c:pt>
                <c:pt idx="5">
                  <c:v>28.4965828994075</c:v>
                </c:pt>
                <c:pt idx="6">
                  <c:v>22.5158185871862</c:v>
                </c:pt>
                <c:pt idx="7">
                  <c:v>18.2378130556208</c:v>
                </c:pt>
                <c:pt idx="8">
                  <c:v>15.0725727732403</c:v>
                </c:pt>
                <c:pt idx="9">
                  <c:v>12.6651479552922</c:v>
                </c:pt>
              </c:numCache>
            </c:numRef>
          </c:yVal>
          <c:smooth val="0"/>
        </c:ser>
        <c:axId val="15310022"/>
        <c:axId val="72657090"/>
      </c:scatterChart>
      <c:valAx>
        <c:axId val="153100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57090"/>
        <c:crosses val="autoZero"/>
        <c:crossBetween val="midCat"/>
      </c:valAx>
      <c:valAx>
        <c:axId val="726570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1002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60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'L=60nH'!C1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'L=60nH'!$B$2:$B$11</c:f>
              <c:numCache>
                <c:formatCode>0.0000</c:formatCode>
                <c:ptCount val="10"/>
                <c:pt idx="0">
                  <c:v>50</c:v>
                </c:pt>
                <c:pt idx="1">
                  <c:v>66.6666666666667</c:v>
                </c:pt>
                <c:pt idx="2">
                  <c:v>83.3333333333333</c:v>
                </c:pt>
                <c:pt idx="3">
                  <c:v>100</c:v>
                </c:pt>
                <c:pt idx="4">
                  <c:v>116.666666666667</c:v>
                </c:pt>
                <c:pt idx="5">
                  <c:v>133.333333333333</c:v>
                </c:pt>
                <c:pt idx="6">
                  <c:v>150</c:v>
                </c:pt>
                <c:pt idx="7">
                  <c:v>166.666666666667</c:v>
                </c:pt>
                <c:pt idx="8">
                  <c:v>183.333333333333</c:v>
                </c:pt>
                <c:pt idx="9">
                  <c:v>200</c:v>
                </c:pt>
              </c:numCache>
            </c:numRef>
          </c:xVal>
          <c:yVal>
            <c:numRef>
              <c:f>'L=60nH'!$C$2:$C$11</c:f>
              <c:numCache>
                <c:formatCode>0.000</c:formatCode>
                <c:ptCount val="10"/>
                <c:pt idx="0">
                  <c:v>168.868639403896</c:v>
                </c:pt>
                <c:pt idx="1">
                  <c:v>94.9886096646917</c:v>
                </c:pt>
                <c:pt idx="2">
                  <c:v>60.7927101854027</c:v>
                </c:pt>
                <c:pt idx="3">
                  <c:v>42.2171598509741</c:v>
                </c:pt>
                <c:pt idx="4">
                  <c:v>31.0166888701034</c:v>
                </c:pt>
                <c:pt idx="5">
                  <c:v>23.7471524161729</c:v>
                </c:pt>
                <c:pt idx="6">
                  <c:v>18.7631821559885</c:v>
                </c:pt>
                <c:pt idx="7">
                  <c:v>15.1981775463507</c:v>
                </c:pt>
                <c:pt idx="8">
                  <c:v>12.5604773110336</c:v>
                </c:pt>
                <c:pt idx="9">
                  <c:v>10.5542899627435</c:v>
                </c:pt>
              </c:numCache>
            </c:numRef>
          </c:yVal>
          <c:smooth val="0"/>
        </c:ser>
        <c:axId val="29055625"/>
        <c:axId val="24578224"/>
      </c:scatterChart>
      <c:valAx>
        <c:axId val="290556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78224"/>
        <c:crosses val="autoZero"/>
        <c:crossBetween val="midCat"/>
      </c:valAx>
      <c:valAx>
        <c:axId val="24578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5562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70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'L=70nH'!C1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'L=70nH'!$B$2:$B$11</c:f>
              <c:numCache>
                <c:formatCode>0.0000</c:formatCode>
                <c:ptCount val="10"/>
                <c:pt idx="0">
                  <c:v>50</c:v>
                </c:pt>
                <c:pt idx="1">
                  <c:v>66.6666666666667</c:v>
                </c:pt>
                <c:pt idx="2">
                  <c:v>83.3333333333333</c:v>
                </c:pt>
                <c:pt idx="3">
                  <c:v>100</c:v>
                </c:pt>
                <c:pt idx="4">
                  <c:v>116.666666666667</c:v>
                </c:pt>
                <c:pt idx="5">
                  <c:v>133.333333333333</c:v>
                </c:pt>
                <c:pt idx="6">
                  <c:v>150</c:v>
                </c:pt>
                <c:pt idx="7">
                  <c:v>166.666666666667</c:v>
                </c:pt>
                <c:pt idx="8">
                  <c:v>183.333333333333</c:v>
                </c:pt>
                <c:pt idx="9">
                  <c:v>200</c:v>
                </c:pt>
              </c:numCache>
            </c:numRef>
          </c:xVal>
          <c:yVal>
            <c:numRef>
              <c:f>'L=70nH'!$C$2:$C$11</c:f>
              <c:numCache>
                <c:formatCode>0.000</c:formatCode>
                <c:ptCount val="10"/>
                <c:pt idx="0">
                  <c:v>144.744548060483</c:v>
                </c:pt>
                <c:pt idx="1">
                  <c:v>81.4188082840214</c:v>
                </c:pt>
                <c:pt idx="2">
                  <c:v>52.1080373017737</c:v>
                </c:pt>
                <c:pt idx="3">
                  <c:v>36.1861370151206</c:v>
                </c:pt>
                <c:pt idx="4">
                  <c:v>26.5857333172315</c:v>
                </c:pt>
                <c:pt idx="5">
                  <c:v>20.3547020710054</c:v>
                </c:pt>
                <c:pt idx="6">
                  <c:v>16.0827275622758</c:v>
                </c:pt>
                <c:pt idx="7">
                  <c:v>13.0270093254434</c:v>
                </c:pt>
                <c:pt idx="8">
                  <c:v>10.7661234094574</c:v>
                </c:pt>
                <c:pt idx="9">
                  <c:v>9.04653425378016</c:v>
                </c:pt>
              </c:numCache>
            </c:numRef>
          </c:yVal>
          <c:smooth val="0"/>
        </c:ser>
        <c:axId val="27656589"/>
        <c:axId val="34396504"/>
      </c:scatterChart>
      <c:valAx>
        <c:axId val="276565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96504"/>
        <c:crosses val="autoZero"/>
        <c:crossBetween val="midCat"/>
      </c:valAx>
      <c:valAx>
        <c:axId val="34396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5658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80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'L=80nH'!C1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'L=80nH'!$B$2:$B$11</c:f>
              <c:numCache>
                <c:formatCode>0.0000</c:formatCode>
                <c:ptCount val="10"/>
                <c:pt idx="0">
                  <c:v>50</c:v>
                </c:pt>
                <c:pt idx="1">
                  <c:v>66.6666666666667</c:v>
                </c:pt>
                <c:pt idx="2">
                  <c:v>83.3333333333333</c:v>
                </c:pt>
                <c:pt idx="3">
                  <c:v>100</c:v>
                </c:pt>
                <c:pt idx="4">
                  <c:v>116.666666666667</c:v>
                </c:pt>
                <c:pt idx="5">
                  <c:v>133.333333333333</c:v>
                </c:pt>
                <c:pt idx="6">
                  <c:v>150</c:v>
                </c:pt>
                <c:pt idx="7">
                  <c:v>166.666666666667</c:v>
                </c:pt>
                <c:pt idx="8">
                  <c:v>183.333333333333</c:v>
                </c:pt>
                <c:pt idx="9">
                  <c:v>200</c:v>
                </c:pt>
              </c:numCache>
            </c:numRef>
          </c:xVal>
          <c:yVal>
            <c:numRef>
              <c:f>'L=80nH'!$C$2:$C$11</c:f>
              <c:numCache>
                <c:formatCode>0.000</c:formatCode>
                <c:ptCount val="10"/>
                <c:pt idx="0">
                  <c:v>126.651479552922</c:v>
                </c:pt>
                <c:pt idx="1">
                  <c:v>71.2414572485187</c:v>
                </c:pt>
                <c:pt idx="2">
                  <c:v>45.594532639052</c:v>
                </c:pt>
                <c:pt idx="3">
                  <c:v>31.6628698882306</c:v>
                </c:pt>
                <c:pt idx="4">
                  <c:v>23.2625166525775</c:v>
                </c:pt>
                <c:pt idx="5">
                  <c:v>17.8103643121297</c:v>
                </c:pt>
                <c:pt idx="6">
                  <c:v>14.0723866169914</c:v>
                </c:pt>
                <c:pt idx="7">
                  <c:v>11.398633159763</c:v>
                </c:pt>
                <c:pt idx="8">
                  <c:v>9.42035798327521</c:v>
                </c:pt>
                <c:pt idx="9">
                  <c:v>7.91571747205764</c:v>
                </c:pt>
              </c:numCache>
            </c:numRef>
          </c:yVal>
          <c:smooth val="0"/>
        </c:ser>
        <c:axId val="31178879"/>
        <c:axId val="71408238"/>
      </c:scatterChart>
      <c:valAx>
        <c:axId val="311788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08238"/>
        <c:crosses val="autoZero"/>
        <c:crossBetween val="midCat"/>
      </c:valAx>
      <c:valAx>
        <c:axId val="71408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7887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90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'L=90nH'!C1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'L=90nH'!$B$2:$B$11</c:f>
              <c:numCache>
                <c:formatCode>0.0000</c:formatCode>
                <c:ptCount val="10"/>
                <c:pt idx="0">
                  <c:v>50</c:v>
                </c:pt>
                <c:pt idx="1">
                  <c:v>66.6666666666667</c:v>
                </c:pt>
                <c:pt idx="2">
                  <c:v>83.3333333333333</c:v>
                </c:pt>
                <c:pt idx="3">
                  <c:v>100</c:v>
                </c:pt>
                <c:pt idx="4">
                  <c:v>116.666666666667</c:v>
                </c:pt>
                <c:pt idx="5">
                  <c:v>133.333333333333</c:v>
                </c:pt>
                <c:pt idx="6">
                  <c:v>150</c:v>
                </c:pt>
                <c:pt idx="7">
                  <c:v>166.666666666667</c:v>
                </c:pt>
                <c:pt idx="8">
                  <c:v>183.333333333333</c:v>
                </c:pt>
                <c:pt idx="9">
                  <c:v>200</c:v>
                </c:pt>
              </c:numCache>
            </c:numRef>
          </c:xVal>
          <c:yVal>
            <c:numRef>
              <c:f>'L=90nH'!$C$2:$C$11</c:f>
              <c:numCache>
                <c:formatCode>0.000</c:formatCode>
                <c:ptCount val="10"/>
                <c:pt idx="0">
                  <c:v>112.579092935931</c:v>
                </c:pt>
                <c:pt idx="1">
                  <c:v>63.3257397764611</c:v>
                </c:pt>
                <c:pt idx="2">
                  <c:v>40.5284734569351</c:v>
                </c:pt>
                <c:pt idx="3">
                  <c:v>28.1447732339827</c:v>
                </c:pt>
                <c:pt idx="4">
                  <c:v>20.6777925800689</c:v>
                </c:pt>
                <c:pt idx="5">
                  <c:v>15.8314349441153</c:v>
                </c:pt>
                <c:pt idx="6">
                  <c:v>12.5087881039923</c:v>
                </c:pt>
                <c:pt idx="7">
                  <c:v>10.1321183642338</c:v>
                </c:pt>
                <c:pt idx="8">
                  <c:v>8.37365154068908</c:v>
                </c:pt>
                <c:pt idx="9">
                  <c:v>7.03619330849568</c:v>
                </c:pt>
              </c:numCache>
            </c:numRef>
          </c:yVal>
          <c:smooth val="0"/>
        </c:ser>
        <c:axId val="73246251"/>
        <c:axId val="26950969"/>
      </c:scatterChart>
      <c:valAx>
        <c:axId val="732462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50969"/>
        <c:crosses val="autoZero"/>
        <c:crossBetween val="midCat"/>
      </c:valAx>
      <c:valAx>
        <c:axId val="26950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4625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100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'L=100nH'!C1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'L=100nH'!$B$2:$B$11</c:f>
              <c:numCache>
                <c:formatCode>0.0000</c:formatCode>
                <c:ptCount val="10"/>
                <c:pt idx="0">
                  <c:v>50</c:v>
                </c:pt>
                <c:pt idx="1">
                  <c:v>66.6666666666667</c:v>
                </c:pt>
                <c:pt idx="2">
                  <c:v>83.3333333333333</c:v>
                </c:pt>
                <c:pt idx="3">
                  <c:v>100</c:v>
                </c:pt>
                <c:pt idx="4">
                  <c:v>116.666666666667</c:v>
                </c:pt>
                <c:pt idx="5">
                  <c:v>133.333333333333</c:v>
                </c:pt>
                <c:pt idx="6">
                  <c:v>150</c:v>
                </c:pt>
                <c:pt idx="7">
                  <c:v>166.666666666667</c:v>
                </c:pt>
                <c:pt idx="8">
                  <c:v>183.333333333333</c:v>
                </c:pt>
                <c:pt idx="9">
                  <c:v>200</c:v>
                </c:pt>
              </c:numCache>
            </c:numRef>
          </c:xVal>
          <c:yVal>
            <c:numRef>
              <c:f>'L=100nH'!$C$2:$C$11</c:f>
              <c:numCache>
                <c:formatCode>0.000</c:formatCode>
                <c:ptCount val="10"/>
                <c:pt idx="0">
                  <c:v>101.321183642338</c:v>
                </c:pt>
                <c:pt idx="1">
                  <c:v>56.993165798815</c:v>
                </c:pt>
                <c:pt idx="2">
                  <c:v>36.4756261112416</c:v>
                </c:pt>
                <c:pt idx="3">
                  <c:v>25.3302959105844</c:v>
                </c:pt>
                <c:pt idx="4">
                  <c:v>18.610013322062</c:v>
                </c:pt>
                <c:pt idx="5">
                  <c:v>14.2482914497038</c:v>
                </c:pt>
                <c:pt idx="6">
                  <c:v>11.2579092935931</c:v>
                </c:pt>
                <c:pt idx="7">
                  <c:v>9.1189065278104</c:v>
                </c:pt>
                <c:pt idx="8">
                  <c:v>7.53628638662017</c:v>
                </c:pt>
                <c:pt idx="9">
                  <c:v>6.33257397764611</c:v>
                </c:pt>
              </c:numCache>
            </c:numRef>
          </c:yVal>
          <c:smooth val="0"/>
        </c:ser>
        <c:axId val="70112118"/>
        <c:axId val="13244830"/>
      </c:scatterChart>
      <c:valAx>
        <c:axId val="701121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44830"/>
        <c:crosses val="autoZero"/>
        <c:crossBetween val="midCat"/>
      </c:valAx>
      <c:valAx>
        <c:axId val="132448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1211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4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5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6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7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8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9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10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1013.21183642338</v>
      </c>
      <c r="D2" s="7" t="n">
        <f aca="false">B2*1000000</f>
        <v>50000000</v>
      </c>
      <c r="E2" s="8" t="n">
        <f aca="false">C2/1000000000000</f>
        <v>1.01321183642338E-009</v>
      </c>
      <c r="G2" s="2" t="s">
        <v>6</v>
      </c>
      <c r="H2" s="9" t="n">
        <f aca="false">H1/1000000000</f>
        <v>1E-008</v>
      </c>
    </row>
    <row r="3" customFormat="false" ht="15" hidden="false" customHeight="false" outlineLevel="0" collapsed="false">
      <c r="A3" s="4" t="n">
        <v>2</v>
      </c>
      <c r="B3" s="5" t="n">
        <v>66.6666666666667</v>
      </c>
      <c r="C3" s="6" t="n">
        <f aca="false">1000000000000/(4*PI()^2*D3^2*$H$2)</f>
        <v>569.93165798815</v>
      </c>
      <c r="D3" s="7" t="n">
        <f aca="false">B3*1000000</f>
        <v>66666666.6666667</v>
      </c>
      <c r="E3" s="8" t="n">
        <f aca="false">C3/1000000000000</f>
        <v>5.6993165798815E-010</v>
      </c>
      <c r="G3" s="2" t="s">
        <v>7</v>
      </c>
      <c r="H3" s="10" t="n">
        <v>10</v>
      </c>
    </row>
    <row r="4" customFormat="false" ht="15" hidden="false" customHeight="false" outlineLevel="0" collapsed="false">
      <c r="A4" s="4" t="n">
        <v>3</v>
      </c>
      <c r="B4" s="5" t="n">
        <v>83.3333333333333</v>
      </c>
      <c r="C4" s="6" t="n">
        <f aca="false">1000000000000/(4*PI()^2*D4^2*$H$2)</f>
        <v>364.756261112416</v>
      </c>
      <c r="D4" s="7" t="n">
        <f aca="false">B4*1000000</f>
        <v>83333333.3333333</v>
      </c>
      <c r="E4" s="8" t="n">
        <f aca="false">C4/1000000000000</f>
        <v>3.64756261112416E-010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100</v>
      </c>
      <c r="C5" s="6" t="n">
        <f aca="false">1000000000000/(4*PI()^2*D5^2*$H$2)</f>
        <v>253.302959105844</v>
      </c>
      <c r="D5" s="7" t="n">
        <f aca="false">B5*1000000</f>
        <v>100000000</v>
      </c>
      <c r="E5" s="8" t="n">
        <f aca="false">C5/1000000000000</f>
        <v>2.53302959105844E-010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116.666666666667</v>
      </c>
      <c r="C6" s="6" t="n">
        <f aca="false">1000000000000/(4*PI()^2*D6^2*$H$2)</f>
        <v>186.10013322062</v>
      </c>
      <c r="D6" s="7" t="n">
        <f aca="false">B6*1000000</f>
        <v>116666666.666667</v>
      </c>
      <c r="E6" s="8" t="n">
        <f aca="false">C6/1000000000000</f>
        <v>1.8610013322062E-010</v>
      </c>
    </row>
    <row r="7" customFormat="false" ht="15" hidden="false" customHeight="false" outlineLevel="0" collapsed="false">
      <c r="A7" s="4" t="n">
        <v>6</v>
      </c>
      <c r="B7" s="5" t="n">
        <v>133.333333333333</v>
      </c>
      <c r="C7" s="6" t="n">
        <f aca="false">1000000000000/(4*PI()^2*D7^2*$H$2)</f>
        <v>142.482914497038</v>
      </c>
      <c r="D7" s="7" t="n">
        <f aca="false">B7*1000000</f>
        <v>133333333.333333</v>
      </c>
      <c r="E7" s="8" t="n">
        <f aca="false">C7/1000000000000</f>
        <v>1.42482914497038E-010</v>
      </c>
    </row>
    <row r="8" customFormat="false" ht="15" hidden="false" customHeight="false" outlineLevel="0" collapsed="false">
      <c r="A8" s="4" t="n">
        <v>7</v>
      </c>
      <c r="B8" s="5" t="n">
        <v>150</v>
      </c>
      <c r="C8" s="6" t="n">
        <f aca="false">1000000000000/(4*PI()^2*D8^2*$H$2)</f>
        <v>112.579092935931</v>
      </c>
      <c r="D8" s="7" t="n">
        <f aca="false">B8*1000000</f>
        <v>150000000</v>
      </c>
      <c r="E8" s="8" t="n">
        <f aca="false">C8/1000000000000</f>
        <v>1.12579092935931E-010</v>
      </c>
    </row>
    <row r="9" customFormat="false" ht="15" hidden="false" customHeight="false" outlineLevel="0" collapsed="false">
      <c r="A9" s="4" t="n">
        <v>8</v>
      </c>
      <c r="B9" s="5" t="n">
        <v>166.666666666667</v>
      </c>
      <c r="C9" s="6" t="n">
        <f aca="false">1000000000000/(4*PI()^2*D9^2*$H$2)</f>
        <v>91.1890652781039</v>
      </c>
      <c r="D9" s="7" t="n">
        <f aca="false">B9*1000000</f>
        <v>166666666.666667</v>
      </c>
      <c r="E9" s="8" t="n">
        <f aca="false">C9/1000000000000</f>
        <v>9.11890652781039E-011</v>
      </c>
    </row>
    <row r="10" customFormat="false" ht="15" hidden="false" customHeight="false" outlineLevel="0" collapsed="false">
      <c r="A10" s="4" t="n">
        <v>9</v>
      </c>
      <c r="B10" s="5" t="n">
        <v>183.333333333333</v>
      </c>
      <c r="C10" s="6" t="n">
        <f aca="false">1000000000000/(4*PI()^2*D10^2*$H$2)</f>
        <v>75.3628638662017</v>
      </c>
      <c r="D10" s="7" t="n">
        <f aca="false">B10*1000000</f>
        <v>183333333.333333</v>
      </c>
      <c r="E10" s="8" t="n">
        <f aca="false">C10/1000000000000</f>
        <v>7.53628638662017E-011</v>
      </c>
    </row>
    <row r="11" customFormat="false" ht="15" hidden="false" customHeight="false" outlineLevel="0" collapsed="false">
      <c r="A11" s="4" t="n">
        <v>10</v>
      </c>
      <c r="B11" s="5" t="n">
        <v>200</v>
      </c>
      <c r="C11" s="6" t="n">
        <f aca="false">1000000000000/(4*PI()^2*D11^2*$H$2)</f>
        <v>63.3257397764611</v>
      </c>
      <c r="D11" s="7" t="n">
        <f aca="false">B11*1000000</f>
        <v>200000000</v>
      </c>
      <c r="E11" s="8" t="n">
        <f aca="false">C11/1000000000000</f>
        <v>6.33257397764611E-011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20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506.605918211689</v>
      </c>
      <c r="D2" s="7" t="n">
        <f aca="false">B2*1000000</f>
        <v>50000000</v>
      </c>
      <c r="E2" s="8" t="n">
        <f aca="false">C2/1000000000000</f>
        <v>5.06605918211689E-010</v>
      </c>
      <c r="G2" s="2" t="s">
        <v>6</v>
      </c>
      <c r="H2" s="9" t="n">
        <f aca="false">H1/1000000000</f>
        <v>2E-008</v>
      </c>
    </row>
    <row r="3" customFormat="false" ht="15" hidden="false" customHeight="false" outlineLevel="0" collapsed="false">
      <c r="A3" s="4" t="n">
        <v>2</v>
      </c>
      <c r="B3" s="5" t="n">
        <v>66.6666666666667</v>
      </c>
      <c r="C3" s="6" t="n">
        <f aca="false">1000000000000/(4*PI()^2*D3^2*$H$2)</f>
        <v>284.965828994075</v>
      </c>
      <c r="D3" s="7" t="n">
        <f aca="false">B3*1000000</f>
        <v>66666666.6666667</v>
      </c>
      <c r="E3" s="8" t="n">
        <f aca="false">C3/1000000000000</f>
        <v>2.84965828994075E-010</v>
      </c>
      <c r="G3" s="2" t="s">
        <v>7</v>
      </c>
      <c r="H3" s="10" t="n">
        <v>10</v>
      </c>
    </row>
    <row r="4" customFormat="false" ht="15" hidden="false" customHeight="false" outlineLevel="0" collapsed="false">
      <c r="A4" s="4" t="n">
        <v>3</v>
      </c>
      <c r="B4" s="5" t="n">
        <v>83.3333333333333</v>
      </c>
      <c r="C4" s="6" t="n">
        <f aca="false">1000000000000/(4*PI()^2*D4^2*$H$2)</f>
        <v>182.378130556208</v>
      </c>
      <c r="D4" s="7" t="n">
        <f aca="false">B4*1000000</f>
        <v>83333333.3333333</v>
      </c>
      <c r="E4" s="8" t="n">
        <f aca="false">C4/1000000000000</f>
        <v>1.82378130556208E-010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100</v>
      </c>
      <c r="C5" s="6" t="n">
        <f aca="false">1000000000000/(4*PI()^2*D5^2*$H$2)</f>
        <v>126.651479552922</v>
      </c>
      <c r="D5" s="7" t="n">
        <f aca="false">B5*1000000</f>
        <v>100000000</v>
      </c>
      <c r="E5" s="8" t="n">
        <f aca="false">C5/1000000000000</f>
        <v>1.26651479552922E-010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116.666666666667</v>
      </c>
      <c r="C6" s="6" t="n">
        <f aca="false">1000000000000/(4*PI()^2*D6^2*$H$2)</f>
        <v>93.0500666103101</v>
      </c>
      <c r="D6" s="7" t="n">
        <f aca="false">B6*1000000</f>
        <v>116666666.666667</v>
      </c>
      <c r="E6" s="8" t="n">
        <f aca="false">C6/1000000000000</f>
        <v>9.30500666103101E-011</v>
      </c>
    </row>
    <row r="7" customFormat="false" ht="15" hidden="false" customHeight="false" outlineLevel="0" collapsed="false">
      <c r="A7" s="4" t="n">
        <v>6</v>
      </c>
      <c r="B7" s="5" t="n">
        <v>133.333333333333</v>
      </c>
      <c r="C7" s="6" t="n">
        <f aca="false">1000000000000/(4*PI()^2*D7^2*$H$2)</f>
        <v>71.2414572485188</v>
      </c>
      <c r="D7" s="7" t="n">
        <f aca="false">B7*1000000</f>
        <v>133333333.333333</v>
      </c>
      <c r="E7" s="8" t="n">
        <f aca="false">C7/1000000000000</f>
        <v>7.12414572485188E-011</v>
      </c>
    </row>
    <row r="8" customFormat="false" ht="15" hidden="false" customHeight="false" outlineLevel="0" collapsed="false">
      <c r="A8" s="4" t="n">
        <v>7</v>
      </c>
      <c r="B8" s="5" t="n">
        <v>150</v>
      </c>
      <c r="C8" s="6" t="n">
        <f aca="false">1000000000000/(4*PI()^2*D8^2*$H$2)</f>
        <v>56.2895464679654</v>
      </c>
      <c r="D8" s="7" t="n">
        <f aca="false">B8*1000000</f>
        <v>150000000</v>
      </c>
      <c r="E8" s="8" t="n">
        <f aca="false">C8/1000000000000</f>
        <v>5.62895464679654E-011</v>
      </c>
    </row>
    <row r="9" customFormat="false" ht="15" hidden="false" customHeight="false" outlineLevel="0" collapsed="false">
      <c r="A9" s="4" t="n">
        <v>8</v>
      </c>
      <c r="B9" s="5" t="n">
        <v>166.666666666667</v>
      </c>
      <c r="C9" s="6" t="n">
        <f aca="false">1000000000000/(4*PI()^2*D9^2*$H$2)</f>
        <v>45.594532639052</v>
      </c>
      <c r="D9" s="7" t="n">
        <f aca="false">B9*1000000</f>
        <v>166666666.666667</v>
      </c>
      <c r="E9" s="8" t="n">
        <f aca="false">C9/1000000000000</f>
        <v>4.5594532639052E-011</v>
      </c>
    </row>
    <row r="10" customFormat="false" ht="15" hidden="false" customHeight="false" outlineLevel="0" collapsed="false">
      <c r="A10" s="4" t="n">
        <v>9</v>
      </c>
      <c r="B10" s="5" t="n">
        <v>183.333333333333</v>
      </c>
      <c r="C10" s="6" t="n">
        <f aca="false">1000000000000/(4*PI()^2*D10^2*$H$2)</f>
        <v>37.6814319331008</v>
      </c>
      <c r="D10" s="7" t="n">
        <f aca="false">B10*1000000</f>
        <v>183333333.333333</v>
      </c>
      <c r="E10" s="8" t="n">
        <f aca="false">C10/1000000000000</f>
        <v>3.76814319331009E-011</v>
      </c>
    </row>
    <row r="11" customFormat="false" ht="15" hidden="false" customHeight="false" outlineLevel="0" collapsed="false">
      <c r="A11" s="4" t="n">
        <v>10</v>
      </c>
      <c r="B11" s="5" t="n">
        <v>200</v>
      </c>
      <c r="C11" s="6" t="n">
        <f aca="false">1000000000000/(4*PI()^2*D11^2*$H$2)</f>
        <v>31.6628698882306</v>
      </c>
      <c r="D11" s="7" t="n">
        <f aca="false">B11*1000000</f>
        <v>200000000</v>
      </c>
      <c r="E11" s="8" t="n">
        <f aca="false">C11/1000000000000</f>
        <v>3.16628698882306E-011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30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337.737278807793</v>
      </c>
      <c r="D2" s="7" t="n">
        <f aca="false">B2*1000000</f>
        <v>50000000</v>
      </c>
      <c r="E2" s="8" t="n">
        <f aca="false">C2/1000000000000</f>
        <v>3.37737278807793E-010</v>
      </c>
      <c r="G2" s="2" t="s">
        <v>6</v>
      </c>
      <c r="H2" s="9" t="n">
        <f aca="false">H1/1000000000</f>
        <v>3E-008</v>
      </c>
    </row>
    <row r="3" customFormat="false" ht="15" hidden="false" customHeight="false" outlineLevel="0" collapsed="false">
      <c r="A3" s="4" t="n">
        <v>2</v>
      </c>
      <c r="B3" s="5" t="n">
        <v>66.6666666666667</v>
      </c>
      <c r="C3" s="6" t="n">
        <f aca="false">1000000000000/(4*PI()^2*D3^2*$H$2)</f>
        <v>189.977219329383</v>
      </c>
      <c r="D3" s="7" t="n">
        <f aca="false">B3*1000000</f>
        <v>66666666.6666667</v>
      </c>
      <c r="E3" s="8" t="n">
        <f aca="false">C3/1000000000000</f>
        <v>1.89977219329383E-010</v>
      </c>
      <c r="G3" s="2" t="s">
        <v>7</v>
      </c>
      <c r="H3" s="10" t="n">
        <v>10</v>
      </c>
    </row>
    <row r="4" customFormat="false" ht="15" hidden="false" customHeight="false" outlineLevel="0" collapsed="false">
      <c r="A4" s="4" t="n">
        <v>3</v>
      </c>
      <c r="B4" s="5" t="n">
        <v>83.3333333333333</v>
      </c>
      <c r="C4" s="6" t="n">
        <f aca="false">1000000000000/(4*PI()^2*D4^2*$H$2)</f>
        <v>121.585420370805</v>
      </c>
      <c r="D4" s="7" t="n">
        <f aca="false">B4*1000000</f>
        <v>83333333.3333333</v>
      </c>
      <c r="E4" s="8" t="n">
        <f aca="false">C4/1000000000000</f>
        <v>1.21585420370805E-010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100</v>
      </c>
      <c r="C5" s="6" t="n">
        <f aca="false">1000000000000/(4*PI()^2*D5^2*$H$2)</f>
        <v>84.4343197019482</v>
      </c>
      <c r="D5" s="7" t="n">
        <f aca="false">B5*1000000</f>
        <v>100000000</v>
      </c>
      <c r="E5" s="8" t="n">
        <f aca="false">C5/1000000000000</f>
        <v>8.44343197019482E-011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116.666666666667</v>
      </c>
      <c r="C6" s="6" t="n">
        <f aca="false">1000000000000/(4*PI()^2*D6^2*$H$2)</f>
        <v>62.0333777402068</v>
      </c>
      <c r="D6" s="7" t="n">
        <f aca="false">B6*1000000</f>
        <v>116666666.666667</v>
      </c>
      <c r="E6" s="8" t="n">
        <f aca="false">C6/1000000000000</f>
        <v>6.20333777402068E-011</v>
      </c>
    </row>
    <row r="7" customFormat="false" ht="15" hidden="false" customHeight="false" outlineLevel="0" collapsed="false">
      <c r="A7" s="4" t="n">
        <v>6</v>
      </c>
      <c r="B7" s="5" t="n">
        <v>133.333333333333</v>
      </c>
      <c r="C7" s="6" t="n">
        <f aca="false">1000000000000/(4*PI()^2*D7^2*$H$2)</f>
        <v>47.4943048323459</v>
      </c>
      <c r="D7" s="7" t="n">
        <f aca="false">B7*1000000</f>
        <v>133333333.333333</v>
      </c>
      <c r="E7" s="8" t="n">
        <f aca="false">C7/1000000000000</f>
        <v>4.74943048323459E-011</v>
      </c>
    </row>
    <row r="8" customFormat="false" ht="15" hidden="false" customHeight="false" outlineLevel="0" collapsed="false">
      <c r="A8" s="4" t="n">
        <v>7</v>
      </c>
      <c r="B8" s="5" t="n">
        <v>150</v>
      </c>
      <c r="C8" s="6" t="n">
        <f aca="false">1000000000000/(4*PI()^2*D8^2*$H$2)</f>
        <v>37.526364311977</v>
      </c>
      <c r="D8" s="7" t="n">
        <f aca="false">B8*1000000</f>
        <v>150000000</v>
      </c>
      <c r="E8" s="8" t="n">
        <f aca="false">C8/1000000000000</f>
        <v>3.7526364311977E-011</v>
      </c>
    </row>
    <row r="9" customFormat="false" ht="15" hidden="false" customHeight="false" outlineLevel="0" collapsed="false">
      <c r="A9" s="4" t="n">
        <v>8</v>
      </c>
      <c r="B9" s="5" t="n">
        <v>166.666666666667</v>
      </c>
      <c r="C9" s="6" t="n">
        <f aca="false">1000000000000/(4*PI()^2*D9^2*$H$2)</f>
        <v>30.3963550927013</v>
      </c>
      <c r="D9" s="7" t="n">
        <f aca="false">B9*1000000</f>
        <v>166666666.666667</v>
      </c>
      <c r="E9" s="8" t="n">
        <f aca="false">C9/1000000000000</f>
        <v>3.03963550927013E-011</v>
      </c>
    </row>
    <row r="10" customFormat="false" ht="15" hidden="false" customHeight="false" outlineLevel="0" collapsed="false">
      <c r="A10" s="4" t="n">
        <v>9</v>
      </c>
      <c r="B10" s="5" t="n">
        <v>183.333333333333</v>
      </c>
      <c r="C10" s="6" t="n">
        <f aca="false">1000000000000/(4*PI()^2*D10^2*$H$2)</f>
        <v>25.1209546220672</v>
      </c>
      <c r="D10" s="7" t="n">
        <f aca="false">B10*1000000</f>
        <v>183333333.333333</v>
      </c>
      <c r="E10" s="8" t="n">
        <f aca="false">C10/1000000000000</f>
        <v>2.51209546220672E-011</v>
      </c>
    </row>
    <row r="11" customFormat="false" ht="15" hidden="false" customHeight="false" outlineLevel="0" collapsed="false">
      <c r="A11" s="4" t="n">
        <v>10</v>
      </c>
      <c r="B11" s="5" t="n">
        <v>200</v>
      </c>
      <c r="C11" s="6" t="n">
        <f aca="false">1000000000000/(4*PI()^2*D11^2*$H$2)</f>
        <v>21.108579925487</v>
      </c>
      <c r="D11" s="7" t="n">
        <f aca="false">B11*1000000</f>
        <v>200000000</v>
      </c>
      <c r="E11" s="8" t="n">
        <f aca="false">C11/1000000000000</f>
        <v>2.1108579925487E-011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40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253.302959105844</v>
      </c>
      <c r="D2" s="7" t="n">
        <f aca="false">B2*1000000</f>
        <v>50000000</v>
      </c>
      <c r="E2" s="8" t="n">
        <f aca="false">C2/1000000000000</f>
        <v>2.53302959105844E-010</v>
      </c>
      <c r="G2" s="2" t="s">
        <v>6</v>
      </c>
      <c r="H2" s="9" t="n">
        <f aca="false">H1/1000000000</f>
        <v>4E-008</v>
      </c>
    </row>
    <row r="3" customFormat="false" ht="15" hidden="false" customHeight="false" outlineLevel="0" collapsed="false">
      <c r="A3" s="4" t="n">
        <v>2</v>
      </c>
      <c r="B3" s="5" t="n">
        <v>66.6666666666667</v>
      </c>
      <c r="C3" s="6" t="n">
        <f aca="false">1000000000000/(4*PI()^2*D3^2*$H$2)</f>
        <v>142.482914497037</v>
      </c>
      <c r="D3" s="7" t="n">
        <f aca="false">B3*1000000</f>
        <v>66666666.6666667</v>
      </c>
      <c r="E3" s="8" t="n">
        <f aca="false">C3/1000000000000</f>
        <v>1.42482914497037E-010</v>
      </c>
      <c r="G3" s="2" t="s">
        <v>7</v>
      </c>
      <c r="H3" s="10" t="n">
        <v>10</v>
      </c>
    </row>
    <row r="4" customFormat="false" ht="15" hidden="false" customHeight="false" outlineLevel="0" collapsed="false">
      <c r="A4" s="4" t="n">
        <v>3</v>
      </c>
      <c r="B4" s="5" t="n">
        <v>83.3333333333333</v>
      </c>
      <c r="C4" s="6" t="n">
        <f aca="false">1000000000000/(4*PI()^2*D4^2*$H$2)</f>
        <v>91.189065278104</v>
      </c>
      <c r="D4" s="7" t="n">
        <f aca="false">B4*1000000</f>
        <v>83333333.3333333</v>
      </c>
      <c r="E4" s="8" t="n">
        <f aca="false">C4/1000000000000</f>
        <v>9.1189065278104E-011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100</v>
      </c>
      <c r="C5" s="6" t="n">
        <f aca="false">1000000000000/(4*PI()^2*D5^2*$H$2)</f>
        <v>63.3257397764611</v>
      </c>
      <c r="D5" s="7" t="n">
        <f aca="false">B5*1000000</f>
        <v>100000000</v>
      </c>
      <c r="E5" s="8" t="n">
        <f aca="false">C5/1000000000000</f>
        <v>6.33257397764611E-011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116.666666666667</v>
      </c>
      <c r="C6" s="6" t="n">
        <f aca="false">1000000000000/(4*PI()^2*D6^2*$H$2)</f>
        <v>46.5250333051551</v>
      </c>
      <c r="D6" s="7" t="n">
        <f aca="false">B6*1000000</f>
        <v>116666666.666667</v>
      </c>
      <c r="E6" s="8" t="n">
        <f aca="false">C6/1000000000000</f>
        <v>4.65250333051551E-011</v>
      </c>
    </row>
    <row r="7" customFormat="false" ht="15" hidden="false" customHeight="false" outlineLevel="0" collapsed="false">
      <c r="A7" s="4" t="n">
        <v>6</v>
      </c>
      <c r="B7" s="5" t="n">
        <v>133.333333333333</v>
      </c>
      <c r="C7" s="6" t="n">
        <f aca="false">1000000000000/(4*PI()^2*D7^2*$H$2)</f>
        <v>35.6207286242594</v>
      </c>
      <c r="D7" s="7" t="n">
        <f aca="false">B7*1000000</f>
        <v>133333333.333333</v>
      </c>
      <c r="E7" s="8" t="n">
        <f aca="false">C7/1000000000000</f>
        <v>3.56207286242594E-011</v>
      </c>
    </row>
    <row r="8" customFormat="false" ht="15" hidden="false" customHeight="false" outlineLevel="0" collapsed="false">
      <c r="A8" s="4" t="n">
        <v>7</v>
      </c>
      <c r="B8" s="5" t="n">
        <v>150</v>
      </c>
      <c r="C8" s="6" t="n">
        <f aca="false">1000000000000/(4*PI()^2*D8^2*$H$2)</f>
        <v>28.1447732339827</v>
      </c>
      <c r="D8" s="7" t="n">
        <f aca="false">B8*1000000</f>
        <v>150000000</v>
      </c>
      <c r="E8" s="8" t="n">
        <f aca="false">C8/1000000000000</f>
        <v>2.81447732339827E-011</v>
      </c>
    </row>
    <row r="9" customFormat="false" ht="15" hidden="false" customHeight="false" outlineLevel="0" collapsed="false">
      <c r="A9" s="4" t="n">
        <v>8</v>
      </c>
      <c r="B9" s="5" t="n">
        <v>166.666666666667</v>
      </c>
      <c r="C9" s="6" t="n">
        <f aca="false">1000000000000/(4*PI()^2*D9^2*$H$2)</f>
        <v>22.797266319526</v>
      </c>
      <c r="D9" s="7" t="n">
        <f aca="false">B9*1000000</f>
        <v>166666666.666667</v>
      </c>
      <c r="E9" s="8" t="n">
        <f aca="false">C9/1000000000000</f>
        <v>2.2797266319526E-011</v>
      </c>
    </row>
    <row r="10" customFormat="false" ht="15" hidden="false" customHeight="false" outlineLevel="0" collapsed="false">
      <c r="A10" s="4" t="n">
        <v>9</v>
      </c>
      <c r="B10" s="5" t="n">
        <v>183.333333333333</v>
      </c>
      <c r="C10" s="6" t="n">
        <f aca="false">1000000000000/(4*PI()^2*D10^2*$H$2)</f>
        <v>18.8407159665504</v>
      </c>
      <c r="D10" s="7" t="n">
        <f aca="false">B10*1000000</f>
        <v>183333333.333333</v>
      </c>
      <c r="E10" s="8" t="n">
        <f aca="false">C10/1000000000000</f>
        <v>1.88407159665504E-011</v>
      </c>
    </row>
    <row r="11" customFormat="false" ht="15" hidden="false" customHeight="false" outlineLevel="0" collapsed="false">
      <c r="A11" s="4" t="n">
        <v>10</v>
      </c>
      <c r="B11" s="5" t="n">
        <v>200</v>
      </c>
      <c r="C11" s="6" t="n">
        <f aca="false">1000000000000/(4*PI()^2*D11^2*$H$2)</f>
        <v>15.8314349441153</v>
      </c>
      <c r="D11" s="7" t="n">
        <f aca="false">B11*1000000</f>
        <v>200000000</v>
      </c>
      <c r="E11" s="8" t="n">
        <f aca="false">C11/1000000000000</f>
        <v>1.58314349441153E-011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50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202.642367284676</v>
      </c>
      <c r="D2" s="7" t="n">
        <f aca="false">B2*1000000</f>
        <v>50000000</v>
      </c>
      <c r="E2" s="8" t="n">
        <f aca="false">C2/1000000000000</f>
        <v>2.02642367284676E-010</v>
      </c>
      <c r="G2" s="2" t="s">
        <v>6</v>
      </c>
      <c r="H2" s="9" t="n">
        <f aca="false">H1/1000000000</f>
        <v>5E-008</v>
      </c>
    </row>
    <row r="3" customFormat="false" ht="15" hidden="false" customHeight="false" outlineLevel="0" collapsed="false">
      <c r="A3" s="4" t="n">
        <v>2</v>
      </c>
      <c r="B3" s="5" t="n">
        <v>66.6666666666667</v>
      </c>
      <c r="C3" s="6" t="n">
        <f aca="false">1000000000000/(4*PI()^2*D3^2*$H$2)</f>
        <v>113.98633159763</v>
      </c>
      <c r="D3" s="7" t="n">
        <f aca="false">B3*1000000</f>
        <v>66666666.6666667</v>
      </c>
      <c r="E3" s="8" t="n">
        <f aca="false">C3/1000000000000</f>
        <v>1.1398633159763E-010</v>
      </c>
      <c r="G3" s="2" t="s">
        <v>7</v>
      </c>
      <c r="H3" s="10" t="n">
        <v>10</v>
      </c>
    </row>
    <row r="4" customFormat="false" ht="15" hidden="false" customHeight="false" outlineLevel="0" collapsed="false">
      <c r="A4" s="4" t="n">
        <v>3</v>
      </c>
      <c r="B4" s="5" t="n">
        <v>83.3333333333333</v>
      </c>
      <c r="C4" s="6" t="n">
        <f aca="false">1000000000000/(4*PI()^2*D4^2*$H$2)</f>
        <v>72.9512522224832</v>
      </c>
      <c r="D4" s="7" t="n">
        <f aca="false">B4*1000000</f>
        <v>83333333.3333333</v>
      </c>
      <c r="E4" s="8" t="n">
        <f aca="false">C4/1000000000000</f>
        <v>7.29512522224832E-011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100</v>
      </c>
      <c r="C5" s="6" t="n">
        <f aca="false">1000000000000/(4*PI()^2*D5^2*$H$2)</f>
        <v>50.6605918211689</v>
      </c>
      <c r="D5" s="7" t="n">
        <f aca="false">B5*1000000</f>
        <v>100000000</v>
      </c>
      <c r="E5" s="8" t="n">
        <f aca="false">C5/1000000000000</f>
        <v>5.06605918211689E-011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116.666666666667</v>
      </c>
      <c r="C6" s="6" t="n">
        <f aca="false">1000000000000/(4*PI()^2*D6^2*$H$2)</f>
        <v>37.2200266441241</v>
      </c>
      <c r="D6" s="7" t="n">
        <f aca="false">B6*1000000</f>
        <v>116666666.666667</v>
      </c>
      <c r="E6" s="8" t="n">
        <f aca="false">C6/1000000000000</f>
        <v>3.72200266441241E-011</v>
      </c>
    </row>
    <row r="7" customFormat="false" ht="15" hidden="false" customHeight="false" outlineLevel="0" collapsed="false">
      <c r="A7" s="4" t="n">
        <v>6</v>
      </c>
      <c r="B7" s="5" t="n">
        <v>133.333333333333</v>
      </c>
      <c r="C7" s="6" t="n">
        <f aca="false">1000000000000/(4*PI()^2*D7^2*$H$2)</f>
        <v>28.4965828994075</v>
      </c>
      <c r="D7" s="7" t="n">
        <f aca="false">B7*1000000</f>
        <v>133333333.333333</v>
      </c>
      <c r="E7" s="8" t="n">
        <f aca="false">C7/1000000000000</f>
        <v>2.84965828994075E-011</v>
      </c>
    </row>
    <row r="8" customFormat="false" ht="15" hidden="false" customHeight="false" outlineLevel="0" collapsed="false">
      <c r="A8" s="4" t="n">
        <v>7</v>
      </c>
      <c r="B8" s="5" t="n">
        <v>150</v>
      </c>
      <c r="C8" s="6" t="n">
        <f aca="false">1000000000000/(4*PI()^2*D8^2*$H$2)</f>
        <v>22.5158185871862</v>
      </c>
      <c r="D8" s="7" t="n">
        <f aca="false">B8*1000000</f>
        <v>150000000</v>
      </c>
      <c r="E8" s="8" t="n">
        <f aca="false">C8/1000000000000</f>
        <v>2.25158185871862E-011</v>
      </c>
    </row>
    <row r="9" customFormat="false" ht="15" hidden="false" customHeight="false" outlineLevel="0" collapsed="false">
      <c r="A9" s="4" t="n">
        <v>8</v>
      </c>
      <c r="B9" s="5" t="n">
        <v>166.666666666667</v>
      </c>
      <c r="C9" s="6" t="n">
        <f aca="false">1000000000000/(4*PI()^2*D9^2*$H$2)</f>
        <v>18.2378130556208</v>
      </c>
      <c r="D9" s="7" t="n">
        <f aca="false">B9*1000000</f>
        <v>166666666.666667</v>
      </c>
      <c r="E9" s="8" t="n">
        <f aca="false">C9/1000000000000</f>
        <v>1.82378130556208E-011</v>
      </c>
    </row>
    <row r="10" customFormat="false" ht="15" hidden="false" customHeight="false" outlineLevel="0" collapsed="false">
      <c r="A10" s="4" t="n">
        <v>9</v>
      </c>
      <c r="B10" s="5" t="n">
        <v>183.333333333333</v>
      </c>
      <c r="C10" s="6" t="n">
        <f aca="false">1000000000000/(4*PI()^2*D10^2*$H$2)</f>
        <v>15.0725727732403</v>
      </c>
      <c r="D10" s="7" t="n">
        <f aca="false">B10*1000000</f>
        <v>183333333.333333</v>
      </c>
      <c r="E10" s="8" t="n">
        <f aca="false">C10/1000000000000</f>
        <v>1.50725727732403E-011</v>
      </c>
    </row>
    <row r="11" customFormat="false" ht="15" hidden="false" customHeight="false" outlineLevel="0" collapsed="false">
      <c r="A11" s="4" t="n">
        <v>10</v>
      </c>
      <c r="B11" s="5" t="n">
        <v>200</v>
      </c>
      <c r="C11" s="6" t="n">
        <f aca="false">1000000000000/(4*PI()^2*D11^2*$H$2)</f>
        <v>12.6651479552922</v>
      </c>
      <c r="D11" s="7" t="n">
        <f aca="false">B11*1000000</f>
        <v>200000000</v>
      </c>
      <c r="E11" s="8" t="n">
        <f aca="false">C11/1000000000000</f>
        <v>1.26651479552922E-011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60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168.868639403896</v>
      </c>
      <c r="D2" s="7" t="n">
        <f aca="false">B2*1000000</f>
        <v>50000000</v>
      </c>
      <c r="E2" s="8" t="n">
        <f aca="false">C2/1000000000000</f>
        <v>1.68868639403896E-010</v>
      </c>
      <c r="G2" s="2" t="s">
        <v>6</v>
      </c>
      <c r="H2" s="9" t="n">
        <f aca="false">H1/1000000000</f>
        <v>6E-008</v>
      </c>
    </row>
    <row r="3" customFormat="false" ht="15" hidden="false" customHeight="false" outlineLevel="0" collapsed="false">
      <c r="A3" s="4" t="n">
        <v>2</v>
      </c>
      <c r="B3" s="5" t="n">
        <v>66.6666666666667</v>
      </c>
      <c r="C3" s="6" t="n">
        <f aca="false">1000000000000/(4*PI()^2*D3^2*$H$2)</f>
        <v>94.9886096646917</v>
      </c>
      <c r="D3" s="7" t="n">
        <f aca="false">B3*1000000</f>
        <v>66666666.6666667</v>
      </c>
      <c r="E3" s="8" t="n">
        <f aca="false">C3/1000000000000</f>
        <v>9.49886096646917E-011</v>
      </c>
      <c r="G3" s="2" t="s">
        <v>7</v>
      </c>
      <c r="H3" s="10" t="n">
        <v>10</v>
      </c>
    </row>
    <row r="4" customFormat="false" ht="15" hidden="false" customHeight="false" outlineLevel="0" collapsed="false">
      <c r="A4" s="4" t="n">
        <v>3</v>
      </c>
      <c r="B4" s="5" t="n">
        <v>83.3333333333333</v>
      </c>
      <c r="C4" s="6" t="n">
        <f aca="false">1000000000000/(4*PI()^2*D4^2*$H$2)</f>
        <v>60.7927101854027</v>
      </c>
      <c r="D4" s="7" t="n">
        <f aca="false">B4*1000000</f>
        <v>83333333.3333333</v>
      </c>
      <c r="E4" s="8" t="n">
        <f aca="false">C4/1000000000000</f>
        <v>6.07927101854027E-011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100</v>
      </c>
      <c r="C5" s="6" t="n">
        <f aca="false">1000000000000/(4*PI()^2*D5^2*$H$2)</f>
        <v>42.2171598509741</v>
      </c>
      <c r="D5" s="7" t="n">
        <f aca="false">B5*1000000</f>
        <v>100000000</v>
      </c>
      <c r="E5" s="8" t="n">
        <f aca="false">C5/1000000000000</f>
        <v>4.22171598509741E-011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116.666666666667</v>
      </c>
      <c r="C6" s="6" t="n">
        <f aca="false">1000000000000/(4*PI()^2*D6^2*$H$2)</f>
        <v>31.0166888701034</v>
      </c>
      <c r="D6" s="7" t="n">
        <f aca="false">B6*1000000</f>
        <v>116666666.666667</v>
      </c>
      <c r="E6" s="8" t="n">
        <f aca="false">C6/1000000000000</f>
        <v>3.10166888701034E-011</v>
      </c>
    </row>
    <row r="7" customFormat="false" ht="15" hidden="false" customHeight="false" outlineLevel="0" collapsed="false">
      <c r="A7" s="4" t="n">
        <v>6</v>
      </c>
      <c r="B7" s="5" t="n">
        <v>133.333333333333</v>
      </c>
      <c r="C7" s="6" t="n">
        <f aca="false">1000000000000/(4*PI()^2*D7^2*$H$2)</f>
        <v>23.7471524161729</v>
      </c>
      <c r="D7" s="7" t="n">
        <f aca="false">B7*1000000</f>
        <v>133333333.333333</v>
      </c>
      <c r="E7" s="8" t="n">
        <f aca="false">C7/1000000000000</f>
        <v>2.37471524161729E-011</v>
      </c>
    </row>
    <row r="8" customFormat="false" ht="15" hidden="false" customHeight="false" outlineLevel="0" collapsed="false">
      <c r="A8" s="4" t="n">
        <v>7</v>
      </c>
      <c r="B8" s="5" t="n">
        <v>150</v>
      </c>
      <c r="C8" s="6" t="n">
        <f aca="false">1000000000000/(4*PI()^2*D8^2*$H$2)</f>
        <v>18.7631821559885</v>
      </c>
      <c r="D8" s="7" t="n">
        <f aca="false">B8*1000000</f>
        <v>150000000</v>
      </c>
      <c r="E8" s="8" t="n">
        <f aca="false">C8/1000000000000</f>
        <v>1.87631821559885E-011</v>
      </c>
    </row>
    <row r="9" customFormat="false" ht="15" hidden="false" customHeight="false" outlineLevel="0" collapsed="false">
      <c r="A9" s="4" t="n">
        <v>8</v>
      </c>
      <c r="B9" s="5" t="n">
        <v>166.666666666667</v>
      </c>
      <c r="C9" s="6" t="n">
        <f aca="false">1000000000000/(4*PI()^2*D9^2*$H$2)</f>
        <v>15.1981775463507</v>
      </c>
      <c r="D9" s="7" t="n">
        <f aca="false">B9*1000000</f>
        <v>166666666.666667</v>
      </c>
      <c r="E9" s="8" t="n">
        <f aca="false">C9/1000000000000</f>
        <v>1.51981775463507E-011</v>
      </c>
    </row>
    <row r="10" customFormat="false" ht="15" hidden="false" customHeight="false" outlineLevel="0" collapsed="false">
      <c r="A10" s="4" t="n">
        <v>9</v>
      </c>
      <c r="B10" s="5" t="n">
        <v>183.333333333333</v>
      </c>
      <c r="C10" s="6" t="n">
        <f aca="false">1000000000000/(4*PI()^2*D10^2*$H$2)</f>
        <v>12.5604773110336</v>
      </c>
      <c r="D10" s="7" t="n">
        <f aca="false">B10*1000000</f>
        <v>183333333.333333</v>
      </c>
      <c r="E10" s="8" t="n">
        <f aca="false">C10/1000000000000</f>
        <v>1.25604773110336E-011</v>
      </c>
    </row>
    <row r="11" customFormat="false" ht="15" hidden="false" customHeight="false" outlineLevel="0" collapsed="false">
      <c r="A11" s="4" t="n">
        <v>10</v>
      </c>
      <c r="B11" s="5" t="n">
        <v>200</v>
      </c>
      <c r="C11" s="6" t="n">
        <f aca="false">1000000000000/(4*PI()^2*D11^2*$H$2)</f>
        <v>10.5542899627435</v>
      </c>
      <c r="D11" s="7" t="n">
        <f aca="false">B11*1000000</f>
        <v>200000000</v>
      </c>
      <c r="E11" s="8" t="n">
        <f aca="false">C11/1000000000000</f>
        <v>1.05542899627435E-011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70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144.744548060483</v>
      </c>
      <c r="D2" s="7" t="n">
        <f aca="false">B2*1000000</f>
        <v>50000000</v>
      </c>
      <c r="E2" s="8" t="n">
        <f aca="false">C2/1000000000000</f>
        <v>1.44744548060483E-010</v>
      </c>
      <c r="G2" s="2" t="s">
        <v>6</v>
      </c>
      <c r="H2" s="9" t="n">
        <f aca="false">H1/1000000000</f>
        <v>7E-008</v>
      </c>
    </row>
    <row r="3" customFormat="false" ht="15" hidden="false" customHeight="false" outlineLevel="0" collapsed="false">
      <c r="A3" s="4" t="n">
        <v>2</v>
      </c>
      <c r="B3" s="5" t="n">
        <v>66.6666666666667</v>
      </c>
      <c r="C3" s="6" t="n">
        <f aca="false">1000000000000/(4*PI()^2*D3^2*$H$2)</f>
        <v>81.4188082840214</v>
      </c>
      <c r="D3" s="7" t="n">
        <f aca="false">B3*1000000</f>
        <v>66666666.6666667</v>
      </c>
      <c r="E3" s="8" t="n">
        <f aca="false">C3/1000000000000</f>
        <v>8.14188082840214E-011</v>
      </c>
      <c r="G3" s="2" t="s">
        <v>7</v>
      </c>
      <c r="H3" s="10" t="n">
        <v>10</v>
      </c>
    </row>
    <row r="4" customFormat="false" ht="15" hidden="false" customHeight="false" outlineLevel="0" collapsed="false">
      <c r="A4" s="4" t="n">
        <v>3</v>
      </c>
      <c r="B4" s="5" t="n">
        <v>83.3333333333333</v>
      </c>
      <c r="C4" s="6" t="n">
        <f aca="false">1000000000000/(4*PI()^2*D4^2*$H$2)</f>
        <v>52.1080373017737</v>
      </c>
      <c r="D4" s="7" t="n">
        <f aca="false">B4*1000000</f>
        <v>83333333.3333333</v>
      </c>
      <c r="E4" s="8" t="n">
        <f aca="false">C4/1000000000000</f>
        <v>5.21080373017737E-011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100</v>
      </c>
      <c r="C5" s="6" t="n">
        <f aca="false">1000000000000/(4*PI()^2*D5^2*$H$2)</f>
        <v>36.1861370151206</v>
      </c>
      <c r="D5" s="7" t="n">
        <f aca="false">B5*1000000</f>
        <v>100000000</v>
      </c>
      <c r="E5" s="8" t="n">
        <f aca="false">C5/1000000000000</f>
        <v>3.61861370151206E-011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116.666666666667</v>
      </c>
      <c r="C6" s="6" t="n">
        <f aca="false">1000000000000/(4*PI()^2*D6^2*$H$2)</f>
        <v>26.5857333172315</v>
      </c>
      <c r="D6" s="7" t="n">
        <f aca="false">B6*1000000</f>
        <v>116666666.666667</v>
      </c>
      <c r="E6" s="8" t="n">
        <f aca="false">C6/1000000000000</f>
        <v>2.65857333172315E-011</v>
      </c>
    </row>
    <row r="7" customFormat="false" ht="15" hidden="false" customHeight="false" outlineLevel="0" collapsed="false">
      <c r="A7" s="4" t="n">
        <v>6</v>
      </c>
      <c r="B7" s="5" t="n">
        <v>133.333333333333</v>
      </c>
      <c r="C7" s="6" t="n">
        <f aca="false">1000000000000/(4*PI()^2*D7^2*$H$2)</f>
        <v>20.3547020710054</v>
      </c>
      <c r="D7" s="7" t="n">
        <f aca="false">B7*1000000</f>
        <v>133333333.333333</v>
      </c>
      <c r="E7" s="8" t="n">
        <f aca="false">C7/1000000000000</f>
        <v>2.03547020710054E-011</v>
      </c>
    </row>
    <row r="8" customFormat="false" ht="15" hidden="false" customHeight="false" outlineLevel="0" collapsed="false">
      <c r="A8" s="4" t="n">
        <v>7</v>
      </c>
      <c r="B8" s="5" t="n">
        <v>150</v>
      </c>
      <c r="C8" s="6" t="n">
        <f aca="false">1000000000000/(4*PI()^2*D8^2*$H$2)</f>
        <v>16.0827275622758</v>
      </c>
      <c r="D8" s="7" t="n">
        <f aca="false">B8*1000000</f>
        <v>150000000</v>
      </c>
      <c r="E8" s="8" t="n">
        <f aca="false">C8/1000000000000</f>
        <v>1.60827275622758E-011</v>
      </c>
    </row>
    <row r="9" customFormat="false" ht="15" hidden="false" customHeight="false" outlineLevel="0" collapsed="false">
      <c r="A9" s="4" t="n">
        <v>8</v>
      </c>
      <c r="B9" s="5" t="n">
        <v>166.666666666667</v>
      </c>
      <c r="C9" s="6" t="n">
        <f aca="false">1000000000000/(4*PI()^2*D9^2*$H$2)</f>
        <v>13.0270093254434</v>
      </c>
      <c r="D9" s="7" t="n">
        <f aca="false">B9*1000000</f>
        <v>166666666.666667</v>
      </c>
      <c r="E9" s="8" t="n">
        <f aca="false">C9/1000000000000</f>
        <v>1.30270093254434E-011</v>
      </c>
    </row>
    <row r="10" customFormat="false" ht="15" hidden="false" customHeight="false" outlineLevel="0" collapsed="false">
      <c r="A10" s="4" t="n">
        <v>9</v>
      </c>
      <c r="B10" s="5" t="n">
        <v>183.333333333333</v>
      </c>
      <c r="C10" s="6" t="n">
        <f aca="false">1000000000000/(4*PI()^2*D10^2*$H$2)</f>
        <v>10.7661234094574</v>
      </c>
      <c r="D10" s="7" t="n">
        <f aca="false">B10*1000000</f>
        <v>183333333.333333</v>
      </c>
      <c r="E10" s="8" t="n">
        <f aca="false">C10/1000000000000</f>
        <v>1.07661234094574E-011</v>
      </c>
    </row>
    <row r="11" customFormat="false" ht="15" hidden="false" customHeight="false" outlineLevel="0" collapsed="false">
      <c r="A11" s="4" t="n">
        <v>10</v>
      </c>
      <c r="B11" s="5" t="n">
        <v>200</v>
      </c>
      <c r="C11" s="6" t="n">
        <f aca="false">1000000000000/(4*PI()^2*D11^2*$H$2)</f>
        <v>9.04653425378016</v>
      </c>
      <c r="D11" s="7" t="n">
        <f aca="false">B11*1000000</f>
        <v>200000000</v>
      </c>
      <c r="E11" s="8" t="n">
        <f aca="false">C11/1000000000000</f>
        <v>9.04653425378016E-012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80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126.651479552922</v>
      </c>
      <c r="D2" s="7" t="n">
        <f aca="false">B2*1000000</f>
        <v>50000000</v>
      </c>
      <c r="E2" s="8" t="n">
        <f aca="false">C2/1000000000000</f>
        <v>1.26651479552922E-010</v>
      </c>
      <c r="G2" s="2" t="s">
        <v>6</v>
      </c>
      <c r="H2" s="9" t="n">
        <f aca="false">H1/1000000000</f>
        <v>8E-008</v>
      </c>
    </row>
    <row r="3" customFormat="false" ht="15" hidden="false" customHeight="false" outlineLevel="0" collapsed="false">
      <c r="A3" s="4" t="n">
        <v>2</v>
      </c>
      <c r="B3" s="5" t="n">
        <v>66.6666666666667</v>
      </c>
      <c r="C3" s="6" t="n">
        <f aca="false">1000000000000/(4*PI()^2*D3^2*$H$2)</f>
        <v>71.2414572485187</v>
      </c>
      <c r="D3" s="7" t="n">
        <f aca="false">B3*1000000</f>
        <v>66666666.6666667</v>
      </c>
      <c r="E3" s="8" t="n">
        <f aca="false">C3/1000000000000</f>
        <v>7.12414572485187E-011</v>
      </c>
      <c r="G3" s="2" t="s">
        <v>7</v>
      </c>
      <c r="H3" s="10" t="n">
        <v>10</v>
      </c>
    </row>
    <row r="4" customFormat="false" ht="15" hidden="false" customHeight="false" outlineLevel="0" collapsed="false">
      <c r="A4" s="4" t="n">
        <v>3</v>
      </c>
      <c r="B4" s="5" t="n">
        <v>83.3333333333333</v>
      </c>
      <c r="C4" s="6" t="n">
        <f aca="false">1000000000000/(4*PI()^2*D4^2*$H$2)</f>
        <v>45.594532639052</v>
      </c>
      <c r="D4" s="7" t="n">
        <f aca="false">B4*1000000</f>
        <v>83333333.3333333</v>
      </c>
      <c r="E4" s="8" t="n">
        <f aca="false">C4/1000000000000</f>
        <v>4.5594532639052E-011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100</v>
      </c>
      <c r="C5" s="6" t="n">
        <f aca="false">1000000000000/(4*PI()^2*D5^2*$H$2)</f>
        <v>31.6628698882306</v>
      </c>
      <c r="D5" s="7" t="n">
        <f aca="false">B5*1000000</f>
        <v>100000000</v>
      </c>
      <c r="E5" s="8" t="n">
        <f aca="false">C5/1000000000000</f>
        <v>3.16628698882306E-011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116.666666666667</v>
      </c>
      <c r="C6" s="6" t="n">
        <f aca="false">1000000000000/(4*PI()^2*D6^2*$H$2)</f>
        <v>23.2625166525775</v>
      </c>
      <c r="D6" s="7" t="n">
        <f aca="false">B6*1000000</f>
        <v>116666666.666667</v>
      </c>
      <c r="E6" s="8" t="n">
        <f aca="false">C6/1000000000000</f>
        <v>2.32625166525775E-011</v>
      </c>
    </row>
    <row r="7" customFormat="false" ht="15" hidden="false" customHeight="false" outlineLevel="0" collapsed="false">
      <c r="A7" s="4" t="n">
        <v>6</v>
      </c>
      <c r="B7" s="5" t="n">
        <v>133.333333333333</v>
      </c>
      <c r="C7" s="6" t="n">
        <f aca="false">1000000000000/(4*PI()^2*D7^2*$H$2)</f>
        <v>17.8103643121297</v>
      </c>
      <c r="D7" s="7" t="n">
        <f aca="false">B7*1000000</f>
        <v>133333333.333333</v>
      </c>
      <c r="E7" s="8" t="n">
        <f aca="false">C7/1000000000000</f>
        <v>1.78103643121297E-011</v>
      </c>
    </row>
    <row r="8" customFormat="false" ht="15" hidden="false" customHeight="false" outlineLevel="0" collapsed="false">
      <c r="A8" s="4" t="n">
        <v>7</v>
      </c>
      <c r="B8" s="5" t="n">
        <v>150</v>
      </c>
      <c r="C8" s="6" t="n">
        <f aca="false">1000000000000/(4*PI()^2*D8^2*$H$2)</f>
        <v>14.0723866169914</v>
      </c>
      <c r="D8" s="7" t="n">
        <f aca="false">B8*1000000</f>
        <v>150000000</v>
      </c>
      <c r="E8" s="8" t="n">
        <f aca="false">C8/1000000000000</f>
        <v>1.40723866169914E-011</v>
      </c>
    </row>
    <row r="9" customFormat="false" ht="15" hidden="false" customHeight="false" outlineLevel="0" collapsed="false">
      <c r="A9" s="4" t="n">
        <v>8</v>
      </c>
      <c r="B9" s="5" t="n">
        <v>166.666666666667</v>
      </c>
      <c r="C9" s="6" t="n">
        <f aca="false">1000000000000/(4*PI()^2*D9^2*$H$2)</f>
        <v>11.398633159763</v>
      </c>
      <c r="D9" s="7" t="n">
        <f aca="false">B9*1000000</f>
        <v>166666666.666667</v>
      </c>
      <c r="E9" s="8" t="n">
        <f aca="false">C9/1000000000000</f>
        <v>1.1398633159763E-011</v>
      </c>
    </row>
    <row r="10" customFormat="false" ht="15" hidden="false" customHeight="false" outlineLevel="0" collapsed="false">
      <c r="A10" s="4" t="n">
        <v>9</v>
      </c>
      <c r="B10" s="5" t="n">
        <v>183.333333333333</v>
      </c>
      <c r="C10" s="6" t="n">
        <f aca="false">1000000000000/(4*PI()^2*D10^2*$H$2)</f>
        <v>9.42035798327521</v>
      </c>
      <c r="D10" s="7" t="n">
        <f aca="false">B10*1000000</f>
        <v>183333333.333333</v>
      </c>
      <c r="E10" s="8" t="n">
        <f aca="false">C10/1000000000000</f>
        <v>9.42035798327521E-012</v>
      </c>
    </row>
    <row r="11" customFormat="false" ht="15" hidden="false" customHeight="false" outlineLevel="0" collapsed="false">
      <c r="A11" s="4" t="n">
        <v>10</v>
      </c>
      <c r="B11" s="5" t="n">
        <v>200</v>
      </c>
      <c r="C11" s="6" t="n">
        <f aca="false">1000000000000/(4*PI()^2*D11^2*$H$2)</f>
        <v>7.91571747205764</v>
      </c>
      <c r="D11" s="7" t="n">
        <f aca="false">B11*1000000</f>
        <v>200000000</v>
      </c>
      <c r="E11" s="8" t="n">
        <f aca="false">C11/1000000000000</f>
        <v>7.91571747205764E-012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90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112.579092935931</v>
      </c>
      <c r="D2" s="7" t="n">
        <f aca="false">B2*1000000</f>
        <v>50000000</v>
      </c>
      <c r="E2" s="8" t="n">
        <f aca="false">C2/1000000000000</f>
        <v>1.12579092935931E-010</v>
      </c>
      <c r="G2" s="2" t="s">
        <v>6</v>
      </c>
      <c r="H2" s="9" t="n">
        <f aca="false">H1/1000000000</f>
        <v>9E-008</v>
      </c>
    </row>
    <row r="3" customFormat="false" ht="15" hidden="false" customHeight="false" outlineLevel="0" collapsed="false">
      <c r="A3" s="4" t="n">
        <v>2</v>
      </c>
      <c r="B3" s="5" t="n">
        <v>66.6666666666667</v>
      </c>
      <c r="C3" s="6" t="n">
        <f aca="false">1000000000000/(4*PI()^2*D3^2*$H$2)</f>
        <v>63.3257397764611</v>
      </c>
      <c r="D3" s="7" t="n">
        <f aca="false">B3*1000000</f>
        <v>66666666.6666667</v>
      </c>
      <c r="E3" s="8" t="n">
        <f aca="false">C3/1000000000000</f>
        <v>6.33257397764611E-011</v>
      </c>
      <c r="G3" s="2" t="s">
        <v>7</v>
      </c>
      <c r="H3" s="10" t="n">
        <v>10</v>
      </c>
    </row>
    <row r="4" customFormat="false" ht="15" hidden="false" customHeight="false" outlineLevel="0" collapsed="false">
      <c r="A4" s="4" t="n">
        <v>3</v>
      </c>
      <c r="B4" s="5" t="n">
        <v>83.3333333333333</v>
      </c>
      <c r="C4" s="6" t="n">
        <f aca="false">1000000000000/(4*PI()^2*D4^2*$H$2)</f>
        <v>40.5284734569351</v>
      </c>
      <c r="D4" s="7" t="n">
        <f aca="false">B4*1000000</f>
        <v>83333333.3333333</v>
      </c>
      <c r="E4" s="8" t="n">
        <f aca="false">C4/1000000000000</f>
        <v>4.05284734569351E-011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100</v>
      </c>
      <c r="C5" s="6" t="n">
        <f aca="false">1000000000000/(4*PI()^2*D5^2*$H$2)</f>
        <v>28.1447732339827</v>
      </c>
      <c r="D5" s="7" t="n">
        <f aca="false">B5*1000000</f>
        <v>100000000</v>
      </c>
      <c r="E5" s="8" t="n">
        <f aca="false">C5/1000000000000</f>
        <v>2.81447732339827E-011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116.666666666667</v>
      </c>
      <c r="C6" s="6" t="n">
        <f aca="false">1000000000000/(4*PI()^2*D6^2*$H$2)</f>
        <v>20.6777925800689</v>
      </c>
      <c r="D6" s="7" t="n">
        <f aca="false">B6*1000000</f>
        <v>116666666.666667</v>
      </c>
      <c r="E6" s="8" t="n">
        <f aca="false">C6/1000000000000</f>
        <v>2.06777925800689E-011</v>
      </c>
    </row>
    <row r="7" customFormat="false" ht="15" hidden="false" customHeight="false" outlineLevel="0" collapsed="false">
      <c r="A7" s="4" t="n">
        <v>6</v>
      </c>
      <c r="B7" s="5" t="n">
        <v>133.333333333333</v>
      </c>
      <c r="C7" s="6" t="n">
        <f aca="false">1000000000000/(4*PI()^2*D7^2*$H$2)</f>
        <v>15.8314349441153</v>
      </c>
      <c r="D7" s="7" t="n">
        <f aca="false">B7*1000000</f>
        <v>133333333.333333</v>
      </c>
      <c r="E7" s="8" t="n">
        <f aca="false">C7/1000000000000</f>
        <v>1.58314349441153E-011</v>
      </c>
    </row>
    <row r="8" customFormat="false" ht="15" hidden="false" customHeight="false" outlineLevel="0" collapsed="false">
      <c r="A8" s="4" t="n">
        <v>7</v>
      </c>
      <c r="B8" s="5" t="n">
        <v>150</v>
      </c>
      <c r="C8" s="6" t="n">
        <f aca="false">1000000000000/(4*PI()^2*D8^2*$H$2)</f>
        <v>12.5087881039923</v>
      </c>
      <c r="D8" s="7" t="n">
        <f aca="false">B8*1000000</f>
        <v>150000000</v>
      </c>
      <c r="E8" s="8" t="n">
        <f aca="false">C8/1000000000000</f>
        <v>1.25087881039923E-011</v>
      </c>
    </row>
    <row r="9" customFormat="false" ht="15" hidden="false" customHeight="false" outlineLevel="0" collapsed="false">
      <c r="A9" s="4" t="n">
        <v>8</v>
      </c>
      <c r="B9" s="5" t="n">
        <v>166.666666666667</v>
      </c>
      <c r="C9" s="6" t="n">
        <f aca="false">1000000000000/(4*PI()^2*D9^2*$H$2)</f>
        <v>10.1321183642338</v>
      </c>
      <c r="D9" s="7" t="n">
        <f aca="false">B9*1000000</f>
        <v>166666666.666667</v>
      </c>
      <c r="E9" s="8" t="n">
        <f aca="false">C9/1000000000000</f>
        <v>1.01321183642338E-011</v>
      </c>
    </row>
    <row r="10" customFormat="false" ht="15" hidden="false" customHeight="false" outlineLevel="0" collapsed="false">
      <c r="A10" s="4" t="n">
        <v>9</v>
      </c>
      <c r="B10" s="5" t="n">
        <v>183.333333333333</v>
      </c>
      <c r="C10" s="6" t="n">
        <f aca="false">1000000000000/(4*PI()^2*D10^2*$H$2)</f>
        <v>8.37365154068908</v>
      </c>
      <c r="D10" s="7" t="n">
        <f aca="false">B10*1000000</f>
        <v>183333333.333333</v>
      </c>
      <c r="E10" s="8" t="n">
        <f aca="false">C10/1000000000000</f>
        <v>8.37365154068908E-012</v>
      </c>
    </row>
    <row r="11" customFormat="false" ht="15" hidden="false" customHeight="false" outlineLevel="0" collapsed="false">
      <c r="A11" s="4" t="n">
        <v>10</v>
      </c>
      <c r="B11" s="5" t="n">
        <v>200</v>
      </c>
      <c r="C11" s="6" t="n">
        <f aca="false">1000000000000/(4*PI()^2*D11^2*$H$2)</f>
        <v>7.03619330849568</v>
      </c>
      <c r="D11" s="7" t="n">
        <f aca="false">B11*1000000</f>
        <v>200000000</v>
      </c>
      <c r="E11" s="8" t="n">
        <f aca="false">C11/1000000000000</f>
        <v>7.03619330849568E-012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100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101.321183642338</v>
      </c>
      <c r="D2" s="7" t="n">
        <f aca="false">B2*1000000</f>
        <v>50000000</v>
      </c>
      <c r="E2" s="8" t="n">
        <f aca="false">C2/1000000000000</f>
        <v>1.01321183642338E-010</v>
      </c>
      <c r="G2" s="2" t="s">
        <v>6</v>
      </c>
      <c r="H2" s="9" t="n">
        <f aca="false">H1/1000000000</f>
        <v>1E-007</v>
      </c>
    </row>
    <row r="3" customFormat="false" ht="15" hidden="false" customHeight="false" outlineLevel="0" collapsed="false">
      <c r="A3" s="4" t="n">
        <v>2</v>
      </c>
      <c r="B3" s="5" t="n">
        <v>66.6666666666667</v>
      </c>
      <c r="C3" s="6" t="n">
        <f aca="false">1000000000000/(4*PI()^2*D3^2*$H$2)</f>
        <v>56.993165798815</v>
      </c>
      <c r="D3" s="7" t="n">
        <f aca="false">B3*1000000</f>
        <v>66666666.6666667</v>
      </c>
      <c r="E3" s="8" t="n">
        <f aca="false">C3/1000000000000</f>
        <v>5.6993165798815E-011</v>
      </c>
      <c r="G3" s="2" t="s">
        <v>7</v>
      </c>
      <c r="H3" s="10" t="n">
        <v>10</v>
      </c>
    </row>
    <row r="4" customFormat="false" ht="15" hidden="false" customHeight="false" outlineLevel="0" collapsed="false">
      <c r="A4" s="4" t="n">
        <v>3</v>
      </c>
      <c r="B4" s="5" t="n">
        <v>83.3333333333333</v>
      </c>
      <c r="C4" s="6" t="n">
        <f aca="false">1000000000000/(4*PI()^2*D4^2*$H$2)</f>
        <v>36.4756261112416</v>
      </c>
      <c r="D4" s="7" t="n">
        <f aca="false">B4*1000000</f>
        <v>83333333.3333333</v>
      </c>
      <c r="E4" s="8" t="n">
        <f aca="false">C4/1000000000000</f>
        <v>3.64756261112416E-011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100</v>
      </c>
      <c r="C5" s="6" t="n">
        <f aca="false">1000000000000/(4*PI()^2*D5^2*$H$2)</f>
        <v>25.3302959105844</v>
      </c>
      <c r="D5" s="7" t="n">
        <f aca="false">B5*1000000</f>
        <v>100000000</v>
      </c>
      <c r="E5" s="8" t="n">
        <f aca="false">C5/1000000000000</f>
        <v>2.53302959105844E-011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116.666666666667</v>
      </c>
      <c r="C6" s="6" t="n">
        <f aca="false">1000000000000/(4*PI()^2*D6^2*$H$2)</f>
        <v>18.610013322062</v>
      </c>
      <c r="D6" s="7" t="n">
        <f aca="false">B6*1000000</f>
        <v>116666666.666667</v>
      </c>
      <c r="E6" s="8" t="n">
        <f aca="false">C6/1000000000000</f>
        <v>1.8610013322062E-011</v>
      </c>
    </row>
    <row r="7" customFormat="false" ht="15" hidden="false" customHeight="false" outlineLevel="0" collapsed="false">
      <c r="A7" s="4" t="n">
        <v>6</v>
      </c>
      <c r="B7" s="5" t="n">
        <v>133.333333333333</v>
      </c>
      <c r="C7" s="6" t="n">
        <f aca="false">1000000000000/(4*PI()^2*D7^2*$H$2)</f>
        <v>14.2482914497038</v>
      </c>
      <c r="D7" s="7" t="n">
        <f aca="false">B7*1000000</f>
        <v>133333333.333333</v>
      </c>
      <c r="E7" s="8" t="n">
        <f aca="false">C7/1000000000000</f>
        <v>1.42482914497038E-011</v>
      </c>
    </row>
    <row r="8" customFormat="false" ht="15" hidden="false" customHeight="false" outlineLevel="0" collapsed="false">
      <c r="A8" s="4" t="n">
        <v>7</v>
      </c>
      <c r="B8" s="5" t="n">
        <v>150</v>
      </c>
      <c r="C8" s="6" t="n">
        <f aca="false">1000000000000/(4*PI()^2*D8^2*$H$2)</f>
        <v>11.2579092935931</v>
      </c>
      <c r="D8" s="7" t="n">
        <f aca="false">B8*1000000</f>
        <v>150000000</v>
      </c>
      <c r="E8" s="8" t="n">
        <f aca="false">C8/1000000000000</f>
        <v>1.12579092935931E-011</v>
      </c>
    </row>
    <row r="9" customFormat="false" ht="15" hidden="false" customHeight="false" outlineLevel="0" collapsed="false">
      <c r="A9" s="4" t="n">
        <v>8</v>
      </c>
      <c r="B9" s="5" t="n">
        <v>166.666666666667</v>
      </c>
      <c r="C9" s="6" t="n">
        <f aca="false">1000000000000/(4*PI()^2*D9^2*$H$2)</f>
        <v>9.1189065278104</v>
      </c>
      <c r="D9" s="7" t="n">
        <f aca="false">B9*1000000</f>
        <v>166666666.666667</v>
      </c>
      <c r="E9" s="8" t="n">
        <f aca="false">C9/1000000000000</f>
        <v>9.1189065278104E-012</v>
      </c>
    </row>
    <row r="10" customFormat="false" ht="15" hidden="false" customHeight="false" outlineLevel="0" collapsed="false">
      <c r="A10" s="4" t="n">
        <v>9</v>
      </c>
      <c r="B10" s="5" t="n">
        <v>183.333333333333</v>
      </c>
      <c r="C10" s="6" t="n">
        <f aca="false">1000000000000/(4*PI()^2*D10^2*$H$2)</f>
        <v>7.53628638662017</v>
      </c>
      <c r="D10" s="7" t="n">
        <f aca="false">B10*1000000</f>
        <v>183333333.333333</v>
      </c>
      <c r="E10" s="8" t="n">
        <f aca="false">C10/1000000000000</f>
        <v>7.53628638662017E-012</v>
      </c>
    </row>
    <row r="11" customFormat="false" ht="15" hidden="false" customHeight="false" outlineLevel="0" collapsed="false">
      <c r="A11" s="4" t="n">
        <v>10</v>
      </c>
      <c r="B11" s="5" t="n">
        <v>200</v>
      </c>
      <c r="C11" s="6" t="n">
        <f aca="false">1000000000000/(4*PI()^2*D11^2*$H$2)</f>
        <v>6.33257397764611</v>
      </c>
      <c r="D11" s="7" t="n">
        <f aca="false">B11*1000000</f>
        <v>200000000</v>
      </c>
      <c r="E11" s="8" t="n">
        <f aca="false">C11/1000000000000</f>
        <v>6.33257397764611E-012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2026-07-02T03:31:18Z</dcterms:created>
  <dc:creator>openpyxl</dc:creator>
  <dc:description/>
  <dc:language>en-US</dc:language>
  <cp:lastModifiedBy/>
  <dcterms:modified xsi:type="dcterms:W3CDTF">2026-07-02T03:31:23Z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